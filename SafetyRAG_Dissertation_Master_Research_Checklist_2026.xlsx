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6b691ed51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dab2f389c242b8"/>
    <x:sheet xmlns:r="http://schemas.openxmlformats.org/officeDocument/2006/relationships" name="Master Checklist" sheetId="2" r:id="Rd30ab55837ee4b32"/>
    <x:sheet xmlns:r="http://schemas.openxmlformats.org/officeDocument/2006/relationships" name="Phase Roadmap" sheetId="3" r:id="Rcb7a1013c7374451"/>
    <x:sheet xmlns:r="http://schemas.openxmlformats.org/officeDocument/2006/relationships" name="Publication Pipeline" sheetId="4" r:id="R570be3ad40a741b6"/>
    <x:sheet xmlns:r="http://schemas.openxmlformats.org/officeDocument/2006/relationships" name="Status &amp; Evidence Guide" sheetId="5" r:id="R477e9d6ad79f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sz val="10"/>
      <x:color rgb="FF334155"/>
      <x:name val="Carlito"/>
    </x:font>
    <x:font>
      <x:b/>
      <x:sz val="11"/>
      <x:color rgb="FF1E3A5F"/>
      <x:name val="Carlito"/>
    </x:font>
    <x:font>
      <x:b/>
      <x:sz val="20"/>
      <x:color rgb="FF16395C"/>
      <x:name val="Carlito"/>
    </x:font>
    <x:font>
      <x:b/>
      <x:sz val="11"/>
      <x:color rgb="FF805B12"/>
      <x:name val="Carlito"/>
    </x:font>
    <x:font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43A"/>
      </x:patternFill>
    </x:fill>
    <x:fill>
      <x:patternFill patternType="solid">
        <x:fgColor rgb="FF17365A"/>
      </x:patternFill>
    </x:fill>
    <x:fill>
      <x:patternFill patternType="solid">
        <x:fgColor rgb="FFE8EFF8"/>
      </x:patternFill>
    </x:fill>
    <x:fill>
      <x:patternFill patternType="solid">
        <x:fgColor rgb="FFDCEAF9"/>
      </x:patternFill>
    </x:fill>
    <x:fill>
      <x:patternFill patternType="solid">
        <x:fgColor rgb="FFF3F7F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BBF7D0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3cb42e2cd4da8" /><Relationship Type="http://schemas.openxmlformats.org/officeDocument/2006/relationships/theme" Target="/xl/theme/theme1.xml" Id="R73be1abd88214d33" /><Relationship Type="http://schemas.openxmlformats.org/officeDocument/2006/relationships/sharedStrings" Target="/xl/sharedStrings.xml" Id="R70b8993c7fbb457a" /><Relationship Type="http://schemas.openxmlformats.org/officeDocument/2006/relationships/worksheet" Target="/xl/worksheets/sheet1.xml" Id="R50dab2f389c242b8" /><Relationship Type="http://schemas.openxmlformats.org/officeDocument/2006/relationships/worksheet" Target="/xl/worksheets/sheet2.xml" Id="Rd30ab55837ee4b32" /><Relationship Type="http://schemas.openxmlformats.org/officeDocument/2006/relationships/worksheet" Target="/xl/worksheets/sheet3.xml" Id="Rcb7a1013c7374451" /><Relationship Type="http://schemas.openxmlformats.org/officeDocument/2006/relationships/worksheet" Target="/xl/worksheets/sheet4.xml" Id="R570be3ad40a741b6" /><Relationship Type="http://schemas.openxmlformats.org/officeDocument/2006/relationships/worksheet" Target="/xl/worksheets/sheet5.xml" Id="R477e9d6ad79f4647" /></Relationships>
</file>

<file path=xl/tables/table1.xml><?xml version="1.0" encoding="utf-8"?>
<x:table xmlns:x="http://schemas.openxmlformats.org/spreadsheetml/2006/main" id="1" name="SafetyRAGMasterTasks" displayName="SafetyRAGMasterTasks" ref="A1:O178" headerRowCount="1" totalsRowCount="0" totalsRowShown="0">
  <x:tableColumns count="15">
    <x:tableColumn id="1" name="Task ID"/>
    <x:tableColumn id="2" name="Phase #"/>
    <x:tableColumn id="3" name="Phase / Milestone"/>
    <x:tableColumn id="4" name="Workstream"/>
    <x:tableColumn id="5" name="Task / Activity"/>
    <x:tableColumn id="6" name="Detailed goal and completion criteria"/>
    <x:tableColumn id="7" name="Expected output / deliverable"/>
    <x:tableColumn id="8" name="Current status"/>
    <x:tableColumn id="9" name="Priority"/>
    <x:tableColumn id="10" name="Prerequisite task IDs"/>
    <x:tableColumn id="11" name="Owner / responsible"/>
    <x:tableColumn id="12" name="Evidence / output location"/>
    <x:tableColumn id="13" name="Status evidence / confidence"/>
    <x:tableColumn id="14" name="Blocker / next action"/>
    <x:tableColumn id="15" name="Notes / committee decis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ee31d035c54397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6" customHeight="1">
      <x:c r="A1" s="25" t="str">
        <x:v>SAFETYRAG | DISSERTATION MASTER PLAN</x:v>
      </x:c>
      <x:c r="B1" s="25"/>
      <x:c r="C1" s="25"/>
      <x:c r="D1" s="25"/>
      <x:c r="E1" s="25"/>
      <x:c r="F1" s="25"/>
      <x:c r="G1" s="25"/>
      <x:c r="H1" s="25"/>
    </x:row>
    <x:row r="2" ht="26" customHeight="1">
      <x:c r="A2" s="25"/>
      <x:c r="B2" s="25"/>
      <x:c r="C2" s="25"/>
      <x:c r="D2" s="25"/>
      <x:c r="E2" s="25"/>
      <x:c r="F2" s="25"/>
      <x:c r="G2" s="25"/>
      <x:c r="H2" s="25"/>
    </x:row>
    <x:row r="3" ht="25" customHeight="1">
      <x:c r="A3" s="29" t="str">
        <x:v>Dependency-ordered research, engineering, experiments, publications and graduation | Baseline 2026-10-29</x:v>
      </x:c>
      <x:c r="B3" s="29"/>
      <x:c r="C3" s="29"/>
      <x:c r="D3" s="29"/>
      <x:c r="E3" s="29"/>
      <x:c r="F3" s="29"/>
      <x:c r="G3" s="29"/>
      <x:c r="H3" s="29"/>
    </x:row>
    <x:row r="5" ht="30" customHeight="1">
      <x:c r="A5" s="33" t="str">
        <x:v>TOTAL TASKS</x:v>
      </x:c>
      <x:c r="B5" s="33"/>
      <x:c r="C5" s="33" t="str">
        <x:v>COMPLETED (DOCUMENTED)</x:v>
      </x:c>
      <x:c r="D5" s="33"/>
      <x:c r="E5" s="33" t="str">
        <x:v>IN PROGRESS</x:v>
      </x:c>
      <x:c r="F5" s="33"/>
      <x:c r="G5" s="33" t="str">
        <x:v>IMPLEMENTED / VERIFY</x:v>
      </x:c>
      <x:c r="H5" s="33"/>
    </x:row>
    <x:row r="6" ht="26" customHeight="1">
      <x:c r="A6" s="38" t="n">
        <x:f>COUNTA('Master Checklist'!A2:A178)</x:f>
        <x:v>177</x:v>
      </x:c>
      <x:c r="B6" s="38"/>
      <x:c r="C6" s="38" t="n">
        <x:f>COUNTIF('Master Checklist'!H2:H178,"Completed*")</x:f>
        <x:v>0</x:v>
      </x:c>
      <x:c r="D6" s="38"/>
      <x:c r="E6" s="38" t="n">
        <x:f>COUNTIF('Master Checklist'!H2:H178,"In Progress")</x:f>
        <x:v>41</x:v>
      </x:c>
      <x:c r="F6" s="38"/>
      <x:c r="G6" s="38" t="n">
        <x:f>COUNTIF('Master Checklist'!H2:H178,"Implemented—Verify")</x:f>
        <x:v>10</x:v>
      </x:c>
      <x:c r="H6" s="38"/>
    </x:row>
    <x:row r="7" ht="26" customHeight="1">
      <x:c r="A7" s="38"/>
      <x:c r="B7" s="38"/>
      <x:c r="C7" s="38"/>
      <x:c r="D7" s="38"/>
      <x:c r="E7" s="38"/>
      <x:c r="F7" s="38"/>
      <x:c r="G7" s="38"/>
      <x:c r="H7" s="38"/>
    </x:row>
    <x:row r="9">
      <x:c r="A9" s="17" t="str">
        <x:v>STATUS</x:v>
      </x:c>
      <x:c r="B9" s="17" t="str">
        <x:v>COUNT</x:v>
      </x:c>
      <x:c r="D9" s="17" t="str">
        <x:v>RESEARCH AREA</x:v>
      </x:c>
      <x:c r="E9" s="17" t="str">
        <x:v>TASKS</x:v>
      </x:c>
    </x:row>
    <x:row r="10">
      <x:c r="A10" t="str">
        <x:v>Not Started</x:v>
      </x:c>
      <x:c r="B10" t="n">
        <x:f>COUNTIF('Master Checklist'!$H$2:$H$178,A10)</x:f>
        <x:v>119</x:v>
      </x:c>
      <x:c r="D10" t="str">
        <x:v>Governance</x:v>
      </x:c>
      <x:c r="E10" t="n">
        <x:f>COUNTIF('Master Checklist'!$D$2:$D$178,D10)</x:f>
        <x:v>9</x:v>
      </x:c>
    </x:row>
    <x:row r="11">
      <x:c r="A11" t="str">
        <x:v>In Progress</x:v>
      </x:c>
      <x:c r="B11" t="n">
        <x:f>COUNTIF('Master Checklist'!$H$2:$H$178,A11)</x:f>
        <x:v>41</x:v>
      </x:c>
      <x:c r="D11" t="str">
        <x:v>Literature</x:v>
      </x:c>
      <x:c r="E11" t="n">
        <x:f>COUNTIF('Master Checklist'!$D$2:$D$178,D11)</x:f>
        <x:v>10</x:v>
      </x:c>
    </x:row>
    <x:row r="12">
      <x:c r="A12" t="str">
        <x:v>Implemented—Verify</x:v>
      </x:c>
      <x:c r="B12" t="n">
        <x:f>COUNTIF('Master Checklist'!$H$2:$H$178,A12)</x:f>
        <x:v>10</x:v>
      </x:c>
      <x:c r="D12" t="str">
        <x:v>Methodology</x:v>
      </x:c>
      <x:c r="E12" t="n">
        <x:f>COUNTIF('Master Checklist'!$D$2:$D$178,D12)</x:f>
        <x:v>9</x:v>
      </x:c>
    </x:row>
    <x:row r="13">
      <x:c r="A13" t="str">
        <x:v>Needs Verification</x:v>
      </x:c>
      <x:c r="B13" t="n">
        <x:f>COUNTIF('Master Checklist'!$H$2:$H$178,A13)</x:f>
        <x:v>5</x:v>
      </x:c>
      <x:c r="D13" t="str">
        <x:v>Engineering</x:v>
      </x:c>
      <x:c r="E13" t="n">
        <x:f>COUNTIF('Master Checklist'!$D$2:$D$178,D13)</x:f>
        <x:v>28</x:v>
      </x:c>
    </x:row>
    <x:row r="14">
      <x:c r="A14" t="str">
        <x:v>Completed (Artifact)</x:v>
      </x:c>
      <x:c r="B14" t="n">
        <x:f>COUNTIF('Master Checklist'!$H$2:$H$178,A14)</x:f>
        <x:v>1</x:v>
      </x:c>
      <x:c r="D14" t="str">
        <x:v>Architecture</x:v>
      </x:c>
      <x:c r="E14" t="n">
        <x:f>COUNTIF('Master Checklist'!$D$2:$D$178,D14)</x:f>
        <x:v>8</x:v>
      </x:c>
    </x:row>
    <x:row r="15">
      <x:c r="A15" t="str">
        <x:v>Completed (Analysis)</x:v>
      </x:c>
      <x:c r="B15" t="n">
        <x:f>COUNTIF('Master Checklist'!$H$2:$H$178,A15)</x:f>
        <x:v>1</x:v>
      </x:c>
      <x:c r="D15" t="str">
        <x:v>Case Study</x:v>
      </x:c>
      <x:c r="E15" t="n">
        <x:f>COUNTIF('Master Checklist'!$D$2:$D$178,D15)</x:f>
        <x:v>18</x:v>
      </x:c>
    </x:row>
    <x:row r="16">
      <x:c r="A16" t="str">
        <x:v>Completed (Verified)</x:v>
      </x:c>
      <x:c r="B16" t="n">
        <x:f>COUNTIF('Master Checklist'!$H$2:$H$178,A16)</x:f>
        <x:v>0</x:v>
      </x:c>
      <x:c r="D16" t="str">
        <x:v>Integration</x:v>
      </x:c>
      <x:c r="E16" t="n">
        <x:f>COUNTIF('Master Checklist'!$D$2:$D$178,D16)</x:f>
        <x:v>7</x:v>
      </x:c>
    </x:row>
    <x:row r="17">
      <x:c r="A17" t="str">
        <x:v>Blocked</x:v>
      </x:c>
      <x:c r="B17" t="n">
        <x:f>COUNTIF('Master Checklist'!$H$2:$H$178,A17)</x:f>
        <x:v>0</x:v>
      </x:c>
      <x:c r="D17" t="str">
        <x:v>Evaluation</x:v>
      </x:c>
      <x:c r="E17" t="n">
        <x:f>COUNTIF('Master Checklist'!$D$2:$D$178,D17)</x:f>
        <x:v>22</x:v>
      </x:c>
    </x:row>
    <x:row r="18">
      <x:c r="D18" t="str">
        <x:v>Human Study</x:v>
      </x:c>
      <x:c r="E18" t="n">
        <x:f>COUNTIF('Master Checklist'!$D$2:$D$178,D18)</x:f>
        <x:v>14</x:v>
      </x:c>
    </x:row>
    <x:row r="19">
      <x:c r="D19" t="str">
        <x:v>Publication</x:v>
      </x:c>
      <x:c r="E19" t="n">
        <x:f>COUNTIF('Master Checklist'!$D$2:$D$178,D19)</x:f>
        <x:v>22</x:v>
      </x:c>
    </x:row>
    <x:row r="20">
      <x:c r="D20" t="str">
        <x:v>Dissertation</x:v>
      </x:c>
      <x:c r="E20" t="n">
        <x:f>COUNTIF('Master Checklist'!$D$2:$D$178,D20)</x:f>
        <x:v>13</x:v>
      </x:c>
    </x:row>
    <x:row r="21" ht="32" customHeight="1">
      <x:c r="A21" s="44" t="str">
        <x:v>STATUS INTERPRETATION: A completed draft or implemented feature is NOT equivalent to a verified dissertation result.</x:v>
      </x:c>
      <x:c r="B21" s="44"/>
      <x:c r="C21" s="44"/>
      <x:c r="D21" s="44" t="str">
        <x:v>Graduation</x:v>
      </x:c>
      <x:c r="E21" s="44" t="n">
        <x:f>COUNTIF('Master Checklist'!$D$2:$D$178,D21)</x:f>
        <x:v>9</x:v>
      </x:c>
      <x:c r="F21" s="44"/>
      <x:c r="G21" s="44"/>
      <x:c r="H21" s="44"/>
    </x:row>
    <x:row r="22">
      <x:c r="D22" t="str">
        <x:v>Management</x:v>
      </x:c>
      <x:c r="E22" t="n">
        <x:f>COUNTIF('Master Checklist'!$D$2:$D$178,D22)</x:f>
        <x:v>8</x:v>
      </x:c>
    </x:row>
    <x:row r="23" ht="34" customHeight="1">
      <x:c r="A23" s="49" t="str">
        <x:v>WORKFLOW: Master Checklist → prerequisite IDs → deliverable → verification evidence → update status → Phase Roadmap</x:v>
      </x:c>
      <x:c r="B23" s="49"/>
      <x:c r="C23" s="49"/>
      <x:c r="D23" s="49"/>
      <x:c r="E23" s="49"/>
      <x:c r="F23" s="49"/>
      <x:c r="G23" s="49"/>
      <x:c r="H23" s="49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21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18" hidden="0" customWidth="1"/>
    <x:col min="5" max="5" width="43" hidden="0" customWidth="1"/>
    <x:col min="6" max="6" width="82" hidden="0" customWidth="1"/>
    <x:col min="7" max="7" width="50" hidden="0" customWidth="1"/>
    <x:col min="8" max="8" width="22" hidden="0" customWidth="1"/>
    <x:col min="9" max="9" width="12" hidden="0" customWidth="1"/>
    <x:col min="10" max="10" width="22" hidden="0" customWidth="1"/>
    <x:col min="11" max="11" width="23" hidden="0" customWidth="1"/>
    <x:col min="12" max="12" width="35" hidden="0" customWidth="1"/>
    <x:col min="13" max="13" width="46" hidden="0" customWidth="1"/>
    <x:col min="14" max="14" width="37" hidden="0" customWidth="1"/>
    <x:col min="15" max="15" width="35" hidden="0" customWidth="1"/>
  </x:cols>
  <x:sheetData>
    <x:row r="1" ht="34" customHeight="1">
      <x:c r="A1" s="5" t="str">
        <x:v>Task ID</x:v>
      </x:c>
      <x:c r="B1" s="5" t="str">
        <x:v>Phase #</x:v>
      </x:c>
      <x:c r="C1" s="5" t="str">
        <x:v>Phase / Milestone</x:v>
      </x:c>
      <x:c r="D1" s="5" t="str">
        <x:v>Workstream</x:v>
      </x:c>
      <x:c r="E1" s="5" t="str">
        <x:v>Task / Activity</x:v>
      </x:c>
      <x:c r="F1" s="5" t="str">
        <x:v>Detailed goal and completion criteria</x:v>
      </x:c>
      <x:c r="G1" s="5" t="str">
        <x:v>Expected output / deliverable</x:v>
      </x:c>
      <x:c r="H1" s="5" t="str">
        <x:v>Current status</x:v>
      </x:c>
      <x:c r="I1" s="5" t="str">
        <x:v>Priority</x:v>
      </x:c>
      <x:c r="J1" s="5" t="str">
        <x:v>Prerequisite task IDs</x:v>
      </x:c>
      <x:c r="K1" s="5" t="str">
        <x:v>Owner / responsible</x:v>
      </x:c>
      <x:c r="L1" s="5" t="str">
        <x:v>Evidence / output location</x:v>
      </x:c>
      <x:c r="M1" s="5" t="str">
        <x:v>Status evidence / confidence</x:v>
      </x:c>
      <x:c r="N1" s="5" t="str">
        <x:v>Blocker / next action</x:v>
      </x:c>
      <x:c r="O1" s="5" t="str">
        <x:v>Notes / committee decisions</x:v>
      </x:c>
    </x:row>
    <x:row r="2" ht="47" customHeight="1">
      <x:c r="A2" s="12" t="str">
        <x:v>01.01</x:v>
      </x:c>
      <x:c r="B2" s="12" t="n">
        <x:v>1</x:v>
      </x:c>
      <x:c r="C2" s="12" t="str">
        <x:v>Research governance and approval</x:v>
      </x:c>
      <x:c r="D2" s="12" t="str">
        <x:v>Governance</x:v>
      </x:c>
      <x:c r="E2" s="12" t="str">
        <x:v>Consolidate authoritative research scope</x:v>
      </x:c>
      <x:c r="F2" s="12" t="str">
        <x:v>Reconcile the dissertation proposal, architecture paper, committee presentation, MCAS case-study plan and current software state; record which claims are planned versus verified.</x:v>
      </x:c>
      <x:c r="G2" s="12" t="str">
        <x:v>Approved research scope and document register</x:v>
      </x:c>
      <x:c r="H2" s="12" t="str">
        <x:v>In Progress</x:v>
      </x:c>
      <x:c r="I2" s="12" t="str">
        <x:v>High</x:v>
      </x:c>
      <x:c r="J2" s="12" t="str"/>
      <x:c r="K2" s="12" t="str"/>
      <x:c r="L2" s="12" t="str"/>
      <x:c r="M2" s="12" t="str">
        <x:v>Prior implementation or draft; verification required</x:v>
      </x:c>
      <x:c r="N2" s="12" t="str"/>
      <x:c r="O2" s="12" t="str"/>
    </x:row>
    <x:row r="3" ht="47" customHeight="1">
      <x:c r="A3" s="12" t="str">
        <x:v>01.02</x:v>
      </x:c>
      <x:c r="B3" s="12" t="n">
        <x:v>1</x:v>
      </x:c>
      <x:c r="C3" s="12" t="str">
        <x:v>Research governance and approval</x:v>
      </x:c>
      <x:c r="D3" s="12" t="str">
        <x:v>Governance</x:v>
      </x:c>
      <x:c r="E3" s="12" t="str">
        <x:v>Identify supervisory and committee roles</x:v>
      </x:c>
      <x:c r="F3" s="12" t="str">
        <x:v>Confirm adviser, committee membership, decision rights, institutional forms and meeting cadence; document unresolved administrative requirements.</x:v>
      </x:c>
      <x:c r="G3" s="12" t="str">
        <x:v>Committee and approval responsibility matrix</x:v>
      </x:c>
      <x:c r="H3" s="12" t="str">
        <x:v>Needs Verification</x:v>
      </x:c>
      <x:c r="I3" s="12" t="str">
        <x:v>High</x:v>
      </x:c>
      <x:c r="J3" s="12" t="str">
        <x:v>01.01</x:v>
      </x:c>
      <x:c r="K3" s="12" t="str"/>
      <x:c r="L3" s="12" t="str"/>
      <x:c r="M3" s="12" t="str">
        <x:v>Prior implementation or draft; verification required</x:v>
      </x:c>
      <x:c r="N3" s="12" t="str"/>
      <x:c r="O3" s="12" t="str"/>
    </x:row>
    <x:row r="4" ht="47" customHeight="1">
      <x:c r="A4" s="12" t="str">
        <x:v>01.03</x:v>
      </x:c>
      <x:c r="B4" s="12" t="n">
        <x:v>1</x:v>
      </x:c>
      <x:c r="C4" s="12" t="str">
        <x:v>Research governance and approval</x:v>
      </x:c>
      <x:c r="D4" s="12" t="str">
        <x:v>Governance</x:v>
      </x:c>
      <x:c r="E4" s="12" t="str">
        <x:v>Finalize dissertation research problem</x:v>
      </x:c>
      <x:c r="F4" s="12" t="str">
        <x:v>Specify the software-safety engineering failure modes addressed, users, artifact types, operating assumptions and excluded certification claims.</x:v>
      </x:c>
      <x:c r="G4" s="12" t="str">
        <x:v>Problem statement and scope boundaries</x:v>
      </x:c>
      <x:c r="H4" s="12" t="str">
        <x:v>In Progress</x:v>
      </x:c>
      <x:c r="I4" s="12" t="str">
        <x:v>High</x:v>
      </x:c>
      <x:c r="J4" s="12" t="str">
        <x:v>01.01</x:v>
      </x:c>
      <x:c r="K4" s="12" t="str"/>
      <x:c r="L4" s="12" t="str"/>
      <x:c r="M4" s="12" t="str">
        <x:v>Prior implementation or draft; verification required</x:v>
      </x:c>
      <x:c r="N4" s="12" t="str"/>
      <x:c r="O4" s="12" t="str"/>
    </x:row>
    <x:row r="5" ht="47" customHeight="1">
      <x:c r="A5" s="12" t="str">
        <x:v>01.04</x:v>
      </x:c>
      <x:c r="B5" s="12" t="n">
        <x:v>1</x:v>
      </x:c>
      <x:c r="C5" s="12" t="str">
        <x:v>Research governance and approval</x:v>
      </x:c>
      <x:c r="D5" s="12" t="str">
        <x:v>Governance</x:v>
      </x:c>
      <x:c r="E5" s="12" t="str">
        <x:v>Map contributions to doctoral standards</x:v>
      </x:c>
      <x:c r="F5" s="12" t="str">
        <x:v>Translate proposed architecture, empirical methods, reproducibility and case-study contributions into dissertation-level criteria.</x:v>
      </x:c>
      <x:c r="G5" s="12" t="str">
        <x:v>Contribution-to-evidence matrix</x:v>
      </x:c>
      <x:c r="H5" s="12" t="str">
        <x:v>In Progress</x:v>
      </x:c>
      <x:c r="I5" s="12" t="str">
        <x:v>High</x:v>
      </x:c>
      <x:c r="J5" s="12" t="str">
        <x:v>01.03</x:v>
      </x:c>
      <x:c r="K5" s="12" t="str"/>
      <x:c r="L5" s="12" t="str"/>
      <x:c r="M5" s="12" t="str">
        <x:v>Prior implementation or draft; verification required</x:v>
      </x:c>
      <x:c r="N5" s="12" t="str"/>
      <x:c r="O5" s="12" t="str"/>
    </x:row>
    <x:row r="6" ht="47" customHeight="1">
      <x:c r="A6" s="12" t="str">
        <x:v>01.05</x:v>
      </x:c>
      <x:c r="B6" s="12" t="n">
        <x:v>1</x:v>
      </x:c>
      <x:c r="C6" s="12" t="str">
        <x:v>Research governance and approval</x:v>
      </x:c>
      <x:c r="D6" s="12" t="str">
        <x:v>Governance</x:v>
      </x:c>
      <x:c r="E6" s="12" t="str">
        <x:v>Update committee presentation for REFSafE</x:v>
      </x:c>
      <x:c r="F6" s="12" t="str">
        <x:v>Incorporate the Das et al. comparator, revised novelty claims, updated research questions and strong baseline into committee materials.</x:v>
      </x:c>
      <x:c r="G6" s="12" t="str">
        <x:v>41-slide updated presentation and speaking script</x:v>
      </x:c>
      <x:c r="H6" s="12" t="str">
        <x:v>Completed (Artifact)</x:v>
      </x:c>
      <x:c r="I6" s="12" t="str">
        <x:v>High</x:v>
      </x:c>
      <x:c r="J6" s="12" t="str">
        <x:v>01.03</x:v>
      </x:c>
      <x:c r="K6" s="12" t="str"/>
      <x:c r="L6" s="12" t="str"/>
      <x:c r="M6" s="12" t="str">
        <x:v>Existing artifact / earlier work</x:v>
      </x:c>
      <x:c r="N6" s="12" t="str"/>
      <x:c r="O6" s="12" t="str"/>
    </x:row>
    <x:row r="7" ht="47" customHeight="1">
      <x:c r="A7" s="12" t="str">
        <x:v>01.06</x:v>
      </x:c>
      <x:c r="B7" s="12" t="n">
        <x:v>1</x:v>
      </x:c>
      <x:c r="C7" s="12" t="str">
        <x:v>Research governance and approval</x:v>
      </x:c>
      <x:c r="D7" s="12" t="str">
        <x:v>Governance</x:v>
      </x:c>
      <x:c r="E7" s="12" t="str">
        <x:v>Conduct proposal rehearsal and challenge review</x:v>
      </x:c>
      <x:c r="F7" s="12" t="str">
        <x:v>Run mock Q&amp;A on novelty, validity, MCAS hindsight bias, safety claims, scope and feasibility; revise weak arguments.</x:v>
      </x:c>
      <x:c r="G7" s="12" t="str">
        <x:v>Rehearsal issue log and revised slides</x:v>
      </x:c>
      <x:c r="H7" s="12" t="str">
        <x:v>Not Started</x:v>
      </x:c>
      <x:c r="I7" s="12" t="str">
        <x:v>High</x:v>
      </x:c>
      <x:c r="J7" s="12" t="str">
        <x:v>01.05</x:v>
      </x:c>
      <x:c r="K7" s="12" t="str"/>
      <x:c r="L7" s="12" t="str"/>
      <x:c r="M7" s="12" t="str">
        <x:v>Planned / not evidenced</x:v>
      </x:c>
      <x:c r="N7" s="12" t="str"/>
      <x:c r="O7" s="12" t="str"/>
    </x:row>
    <x:row r="8" ht="47" customHeight="1">
      <x:c r="A8" s="12" t="str">
        <x:v>01.07</x:v>
      </x:c>
      <x:c r="B8" s="12" t="n">
        <x:v>1</x:v>
      </x:c>
      <x:c r="C8" s="12" t="str">
        <x:v>Research governance and approval</x:v>
      </x:c>
      <x:c r="D8" s="12" t="str">
        <x:v>Governance</x:v>
      </x:c>
      <x:c r="E8" s="12" t="str">
        <x:v>Present proposal to committee</x:v>
      </x:c>
      <x:c r="F8" s="12" t="str">
        <x:v>Deliver the research-approval presentation and document feedback, conditions and requested revisions.</x:v>
      </x:c>
      <x:c r="G8" s="12" t="str">
        <x:v>Committee meeting record and action list</x:v>
      </x:c>
      <x:c r="H8" s="12" t="str">
        <x:v>Needs Verification</x:v>
      </x:c>
      <x:c r="I8" s="12" t="str">
        <x:v>High</x:v>
      </x:c>
      <x:c r="J8" s="12" t="str">
        <x:v>01.06</x:v>
      </x:c>
      <x:c r="K8" s="12" t="str"/>
      <x:c r="L8" s="12" t="str"/>
      <x:c r="M8" s="12" t="str">
        <x:v>Prior implementation or draft; verification required</x:v>
      </x:c>
      <x:c r="N8" s="12" t="str"/>
      <x:c r="O8" s="12" t="str"/>
    </x:row>
    <x:row r="9" ht="47" customHeight="1">
      <x:c r="A9" s="12" t="str">
        <x:v>01.08</x:v>
      </x:c>
      <x:c r="B9" s="12" t="n">
        <x:v>1</x:v>
      </x:c>
      <x:c r="C9" s="12" t="str">
        <x:v>Research governance and approval</x:v>
      </x:c>
      <x:c r="D9" s="12" t="str">
        <x:v>Governance</x:v>
      </x:c>
      <x:c r="E9" s="12" t="str">
        <x:v>Obtain documented proposal approval</x:v>
      </x:c>
      <x:c r="F9" s="12" t="str">
        <x:v>Resolve committee conditions and obtain the institution's formal approval before treating the proposal as authorized.</x:v>
      </x:c>
      <x:c r="G9" s="12" t="str">
        <x:v>Signed/recorded research approval</x:v>
      </x:c>
      <x:c r="H9" s="12" t="str">
        <x:v>Needs Verification</x:v>
      </x:c>
      <x:c r="I9" s="12" t="str">
        <x:v>High</x:v>
      </x:c>
      <x:c r="J9" s="12" t="str">
        <x:v>01.07</x:v>
      </x:c>
      <x:c r="K9" s="12" t="str"/>
      <x:c r="L9" s="12" t="str"/>
      <x:c r="M9" s="12" t="str">
        <x:v>Prior implementation or draft; verification required</x:v>
      </x:c>
      <x:c r="N9" s="12" t="str"/>
      <x:c r="O9" s="12" t="str"/>
    </x:row>
    <x:row r="10" ht="47" customHeight="1">
      <x:c r="A10" s="12" t="str">
        <x:v>01.09</x:v>
      </x:c>
      <x:c r="B10" s="12" t="n">
        <x:v>1</x:v>
      </x:c>
      <x:c r="C10" s="12" t="str">
        <x:v>Research governance and approval</x:v>
      </x:c>
      <x:c r="D10" s="12" t="str">
        <x:v>Governance</x:v>
      </x:c>
      <x:c r="E10" s="12" t="str">
        <x:v>Create change-control register</x:v>
      </x:c>
      <x:c r="F10" s="12" t="str">
        <x:v>Track deviations from approved research questions, experiments, data sources and participant protocols with rationale and approvals.</x:v>
      </x:c>
      <x:c r="G10" s="12" t="str">
        <x:v>Research change log</x:v>
      </x:c>
      <x:c r="H10" s="12" t="str">
        <x:v>Not Started</x:v>
      </x:c>
      <x:c r="I10" s="12" t="str">
        <x:v>High</x:v>
      </x:c>
      <x:c r="J10" s="12" t="str">
        <x:v>01.08</x:v>
      </x:c>
      <x:c r="K10" s="12" t="str"/>
      <x:c r="L10" s="12" t="str"/>
      <x:c r="M10" s="12" t="str">
        <x:v>Planned / not evidenced</x:v>
      </x:c>
      <x:c r="N10" s="12" t="str"/>
      <x:c r="O10" s="12" t="str"/>
    </x:row>
    <x:row r="11" ht="47" customHeight="1">
      <x:c r="A11" s="12" t="str">
        <x:v>02.01</x:v>
      </x:c>
      <x:c r="B11" s="12" t="n">
        <x:v>2</x:v>
      </x:c>
      <x:c r="C11" s="12" t="str">
        <x:v>Prior art, novelty and theory</x:v>
      </x:c>
      <x:c r="D11" s="12" t="str">
        <x:v>Literature</x:v>
      </x:c>
      <x:c r="E11" s="12" t="str">
        <x:v>Consolidate systematic search protocol</x:v>
      </x:c>
      <x:c r="F11" s="12" t="str">
        <x:v>Define databases, search strings, date limits, screening criteria, inclusion/exclusion and reproducible export formats.</x:v>
      </x:c>
      <x:c r="G11" s="12" t="str">
        <x:v>Search protocol and query log</x:v>
      </x:c>
      <x:c r="H11" s="12" t="str">
        <x:v>In Progress</x:v>
      </x:c>
      <x:c r="I11" s="12" t="str">
        <x:v>Medium</x:v>
      </x:c>
      <x:c r="J11" s="12" t="str">
        <x:v>01.03</x:v>
      </x:c>
      <x:c r="K11" s="12" t="str"/>
      <x:c r="L11" s="12" t="str"/>
      <x:c r="M11" s="12" t="str">
        <x:v>Prior implementation or draft; verification required</x:v>
      </x:c>
      <x:c r="N11" s="12" t="str"/>
      <x:c r="O11" s="12" t="str"/>
    </x:row>
    <x:row r="12" ht="47" customHeight="1">
      <x:c r="A12" s="12" t="str">
        <x:v>02.02</x:v>
      </x:c>
      <x:c r="B12" s="12" t="n">
        <x:v>2</x:v>
      </x:c>
      <x:c r="C12" s="12" t="str">
        <x:v>Prior art, novelty and theory</x:v>
      </x:c>
      <x:c r="D12" s="12" t="str">
        <x:v>Literature</x:v>
      </x:c>
      <x:c r="E12" s="12" t="str">
        <x:v>Build de-duplicated citation library</x:v>
      </x:c>
      <x:c r="F12" s="12" t="str">
        <x:v>Collect DOIs, versions, full texts, metadata and stable URLs; normalize references and remove duplicates.</x:v>
      </x:c>
      <x:c r="G12" s="12" t="str">
        <x:v>BibTeX/Zotero master library</x:v>
      </x:c>
      <x:c r="H12" s="12" t="str">
        <x:v>In Progress</x:v>
      </x:c>
      <x:c r="I12" s="12" t="str">
        <x:v>Medium</x:v>
      </x:c>
      <x:c r="J12" s="12" t="str">
        <x:v>02.01</x:v>
      </x:c>
      <x:c r="K12" s="12" t="str"/>
      <x:c r="L12" s="12" t="str"/>
      <x:c r="M12" s="12" t="str">
        <x:v>Prior implementation or draft; verification required</x:v>
      </x:c>
      <x:c r="N12" s="12" t="str"/>
      <x:c r="O12" s="12" t="str"/>
    </x:row>
    <x:row r="13" ht="47" customHeight="1">
      <x:c r="A13" s="12" t="str">
        <x:v>02.03</x:v>
      </x:c>
      <x:c r="B13" s="12" t="n">
        <x:v>2</x:v>
      </x:c>
      <x:c r="C13" s="12" t="str">
        <x:v>Prior art, novelty and theory</x:v>
      </x:c>
      <x:c r="D13" s="12" t="str">
        <x:v>Literature</x:v>
      </x:c>
      <x:c r="E13" s="12" t="str">
        <x:v>Complete REFSafE full-text extraction</x:v>
      </x:c>
      <x:c r="F13" s="12" t="str">
        <x:v>Extract actual retrieval stages, datasets, human review, metrics, limitations and differences from SafetyRAG without inferring missing features.</x:v>
      </x:c>
      <x:c r="G13" s="12" t="str">
        <x:v>Evidence-coded REFSafE comparison</x:v>
      </x:c>
      <x:c r="H13" s="12" t="str">
        <x:v>Completed (Analysis)</x:v>
      </x:c>
      <x:c r="I13" s="12" t="str">
        <x:v>Medium</x:v>
      </x:c>
      <x:c r="J13" s="12" t="str">
        <x:v>02.02</x:v>
      </x:c>
      <x:c r="K13" s="12" t="str"/>
      <x:c r="L13" s="12" t="str"/>
      <x:c r="M13" s="12" t="str">
        <x:v>Existing artifact / earlier work</x:v>
      </x:c>
      <x:c r="N13" s="12" t="str"/>
      <x:c r="O13" s="12" t="str"/>
    </x:row>
    <x:row r="14" ht="47" customHeight="1">
      <x:c r="A14" s="12" t="str">
        <x:v>02.04</x:v>
      </x:c>
      <x:c r="B14" s="12" t="n">
        <x:v>2</x:v>
      </x:c>
      <x:c r="C14" s="12" t="str">
        <x:v>Prior art, novelty and theory</x:v>
      </x:c>
      <x:c r="D14" s="12" t="str">
        <x:v>Literature</x:v>
      </x:c>
      <x:c r="E14" s="12" t="str">
        <x:v>Review closest 2024–2026 systems in full text</x:v>
      </x:c>
      <x:c r="F14" s="12" t="str">
        <x:v>Evaluate REFSafE, STPA-LLM, aviation graph RAG, engineering-risk graph RAG, human-in-loop FHA and assurance-case systems.</x:v>
      </x:c>
      <x:c r="G14" s="12" t="str">
        <x:v>Prior-art extraction matrix with citations</x:v>
      </x:c>
      <x:c r="H14" s="12" t="str">
        <x:v>In Progress</x:v>
      </x:c>
      <x:c r="I14" s="12" t="str">
        <x:v>Medium</x:v>
      </x:c>
      <x:c r="J14" s="12" t="str">
        <x:v>02.02</x:v>
      </x:c>
      <x:c r="K14" s="12" t="str"/>
      <x:c r="L14" s="12" t="str"/>
      <x:c r="M14" s="12" t="str">
        <x:v>Prior implementation or draft; verification required</x:v>
      </x:c>
      <x:c r="N14" s="12" t="str"/>
      <x:c r="O14" s="12" t="str"/>
    </x:row>
    <x:row r="15" ht="47" customHeight="1">
      <x:c r="A15" s="12" t="str">
        <x:v>02.05</x:v>
      </x:c>
      <x:c r="B15" s="12" t="n">
        <x:v>2</x:v>
      </x:c>
      <x:c r="C15" s="12" t="str">
        <x:v>Prior art, novelty and theory</x:v>
      </x:c>
      <x:c r="D15" s="12" t="str">
        <x:v>Literature</x:v>
      </x:c>
      <x:c r="E15" s="12" t="str">
        <x:v>Review safety engineering foundations</x:v>
      </x:c>
      <x:c r="F15" s="12" t="str">
        <x:v>Ground the work in STAMP/STPA, FMEA, FTA, hazard logs, safety constraints, assurance cases, and relevant standards.</x:v>
      </x:c>
      <x:c r="G15" s="12" t="str">
        <x:v>Safety theory and terminology chapter</x:v>
      </x:c>
      <x:c r="H15" s="12" t="str">
        <x:v>In Progress</x:v>
      </x:c>
      <x:c r="I15" s="12" t="str">
        <x:v>Medium</x:v>
      </x:c>
      <x:c r="J15" s="12" t="str">
        <x:v>02.02</x:v>
      </x:c>
      <x:c r="K15" s="12" t="str"/>
      <x:c r="L15" s="12" t="str"/>
      <x:c r="M15" s="12" t="str">
        <x:v>Prior implementation or draft; verification required</x:v>
      </x:c>
      <x:c r="N15" s="12" t="str"/>
      <x:c r="O15" s="12" t="str"/>
    </x:row>
    <x:row r="16" ht="47" customHeight="1">
      <x:c r="A16" s="12" t="str">
        <x:v>02.06</x:v>
      </x:c>
      <x:c r="B16" s="12" t="n">
        <x:v>2</x:v>
      </x:c>
      <x:c r="C16" s="12" t="str">
        <x:v>Prior art, novelty and theory</x:v>
      </x:c>
      <x:c r="D16" s="12" t="str">
        <x:v>Literature</x:v>
      </x:c>
      <x:c r="E16" s="12" t="str">
        <x:v>Review retrieval and verification foundations</x:v>
      </x:c>
      <x:c r="F16" s="12" t="str">
        <x:v>Cover BM25, vector/hybrid/graph retrieval, provenance models, temporal retrieval, entailment, RAG evaluation and uncertainty.</x:v>
      </x:c>
      <x:c r="G16" s="12" t="str">
        <x:v>Methods background and citation set</x:v>
      </x:c>
      <x:c r="H16" s="12" t="str">
        <x:v>In Progress</x:v>
      </x:c>
      <x:c r="I16" s="12" t="str">
        <x:v>Medium</x:v>
      </x:c>
      <x:c r="J16" s="12" t="str">
        <x:v>02.02</x:v>
      </x:c>
      <x:c r="K16" s="12" t="str"/>
      <x:c r="L16" s="12" t="str"/>
      <x:c r="M16" s="12" t="str">
        <x:v>Prior implementation or draft; verification required</x:v>
      </x:c>
      <x:c r="N16" s="12" t="str"/>
      <x:c r="O16" s="12" t="str"/>
    </x:row>
    <x:row r="17" ht="47" customHeight="1">
      <x:c r="A17" s="12" t="str">
        <x:v>02.07</x:v>
      </x:c>
      <x:c r="B17" s="12" t="n">
        <x:v>2</x:v>
      </x:c>
      <x:c r="C17" s="12" t="str">
        <x:v>Prior art, novelty and theory</x:v>
      </x:c>
      <x:c r="D17" s="12" t="str">
        <x:v>Literature</x:v>
      </x:c>
      <x:c r="E17" s="12" t="str">
        <x:v>Code literature capabilities conservatively</x:v>
      </x:c>
      <x:c r="F17" s="12" t="str">
        <x:v>Use reported/partial/not established rather than claiming competitors cannot do unreported functions; track source pages.</x:v>
      </x:c>
      <x:c r="G17" s="12" t="str">
        <x:v>Auditable comparative feature matrix</x:v>
      </x:c>
      <x:c r="H17" s="12" t="str">
        <x:v>In Progress</x:v>
      </x:c>
      <x:c r="I17" s="12" t="str">
        <x:v>Medium</x:v>
      </x:c>
      <x:c r="J17" s="12" t="str">
        <x:v>02.03;02.04</x:v>
      </x:c>
      <x:c r="K17" s="12" t="str"/>
      <x:c r="L17" s="12" t="str"/>
      <x:c r="M17" s="12" t="str">
        <x:v>Prior implementation or draft; verification required</x:v>
      </x:c>
      <x:c r="N17" s="12" t="str"/>
      <x:c r="O17" s="12" t="str"/>
    </x:row>
    <x:row r="18" ht="47" customHeight="1">
      <x:c r="A18" s="12" t="str">
        <x:v>02.08</x:v>
      </x:c>
      <x:c r="B18" s="12" t="n">
        <x:v>2</x:v>
      </x:c>
      <x:c r="C18" s="12" t="str">
        <x:v>Prior art, novelty and theory</x:v>
      </x:c>
      <x:c r="D18" s="12" t="str">
        <x:v>Literature</x:v>
      </x:c>
      <x:c r="E18" s="12" t="str">
        <x:v>State bounded and falsifiable novelty</x:v>
      </x:c>
      <x:c r="F18" s="12" t="str">
        <x:v>Distinguish integrated safety-typed evidence, version/time eligibility, claim verification and authorized acceptance from existing RAG features.</x:v>
      </x:c>
      <x:c r="G18" s="12" t="str">
        <x:v>Novelty statement and threat-of-priority analysis</x:v>
      </x:c>
      <x:c r="H18" s="12" t="str">
        <x:v>In Progress</x:v>
      </x:c>
      <x:c r="I18" s="12" t="str">
        <x:v>Medium</x:v>
      </x:c>
      <x:c r="J18" s="12" t="str">
        <x:v>02.07</x:v>
      </x:c>
      <x:c r="K18" s="12" t="str"/>
      <x:c r="L18" s="12" t="str"/>
      <x:c r="M18" s="12" t="str">
        <x:v>Prior implementation or draft; verification required</x:v>
      </x:c>
      <x:c r="N18" s="12" t="str"/>
      <x:c r="O18" s="12" t="str"/>
    </x:row>
    <x:row r="19" ht="47" customHeight="1">
      <x:c r="A19" s="12" t="str">
        <x:v>02.09</x:v>
      </x:c>
      <x:c r="B19" s="12" t="n">
        <x:v>2</x:v>
      </x:c>
      <x:c r="C19" s="12" t="str">
        <x:v>Prior art, novelty and theory</x:v>
      </x:c>
      <x:c r="D19" s="12" t="str">
        <x:v>Literature</x:v>
      </x:c>
      <x:c r="E19" s="12" t="str">
        <x:v>Complete citation chaining and independent review</x:v>
      </x:c>
      <x:c r="F19" s="12" t="str">
        <x:v>Backward/forward citation chasing and second-reader screening; document disagreements and missed work.</x:v>
      </x:c>
      <x:c r="G19" s="12" t="str">
        <x:v>Search coverage and screening report</x:v>
      </x:c>
      <x:c r="H19" s="12" t="str">
        <x:v>Not Started</x:v>
      </x:c>
      <x:c r="I19" s="12" t="str">
        <x:v>Medium</x:v>
      </x:c>
      <x:c r="J19" s="12" t="str">
        <x:v>02.04</x:v>
      </x:c>
      <x:c r="K19" s="12" t="str"/>
      <x:c r="L19" s="12" t="str"/>
      <x:c r="M19" s="12" t="str">
        <x:v>Planned / not evidenced</x:v>
      </x:c>
      <x:c r="N19" s="12" t="str"/>
      <x:c r="O19" s="12" t="str"/>
    </x:row>
    <x:row r="20" ht="47" customHeight="1">
      <x:c r="A20" s="12" t="str">
        <x:v>02.10</x:v>
      </x:c>
      <x:c r="B20" s="12" t="n">
        <x:v>2</x:v>
      </x:c>
      <x:c r="C20" s="12" t="str">
        <x:v>Prior art, novelty and theory</x:v>
      </x:c>
      <x:c r="D20" s="12" t="str">
        <x:v>Literature</x:v>
      </x:c>
      <x:c r="E20" s="12" t="str">
        <x:v>Freeze literature snapshot for proposal/paper</x:v>
      </x:c>
      <x:c r="F20" s="12" t="str">
        <x:v>Archive search results and coding decisions; plan scheduled update before manuscript submission and defense.</x:v>
      </x:c>
      <x:c r="G20" s="12" t="str">
        <x:v>Versioned literature review dataset</x:v>
      </x:c>
      <x:c r="H20" s="12" t="str">
        <x:v>Not Started</x:v>
      </x:c>
      <x:c r="I20" s="12" t="str">
        <x:v>Medium</x:v>
      </x:c>
      <x:c r="J20" s="12" t="str">
        <x:v>02.09</x:v>
      </x:c>
      <x:c r="K20" s="12" t="str"/>
      <x:c r="L20" s="12" t="str"/>
      <x:c r="M20" s="12" t="str">
        <x:v>Planned / not evidenced</x:v>
      </x:c>
      <x:c r="N20" s="12" t="str"/>
      <x:c r="O20" s="12" t="str"/>
    </x:row>
    <x:row r="21" ht="47" customHeight="1">
      <x:c r="A21" s="12" t="str">
        <x:v>03.01</x:v>
      </x:c>
      <x:c r="B21" s="12" t="n">
        <x:v>3</x:v>
      </x:c>
      <x:c r="C21" s="12" t="str">
        <x:v>Research questions, hypotheses and measurement</x:v>
      </x:c>
      <x:c r="D21" s="12" t="str">
        <x:v>Methodology</x:v>
      </x:c>
      <x:c r="E21" s="12" t="str">
        <x:v>Freeze research questions and hypotheses</x:v>
      </x:c>
      <x:c r="F21" s="12" t="str">
        <x:v>Define RQ1 SEG, RQ2 retrieval, RQ3 claim verification, RQ4 human outcomes, RQ5 generalization; specify directional and null hypotheses.</x:v>
      </x:c>
      <x:c r="G21" s="12" t="str">
        <x:v>RQ/Hypothesis register</x:v>
      </x:c>
      <x:c r="H21" s="12" t="str">
        <x:v>In Progress</x:v>
      </x:c>
      <x:c r="I21" s="12" t="str">
        <x:v>High</x:v>
      </x:c>
      <x:c r="J21" s="12" t="str">
        <x:v>01.08;02.08</x:v>
      </x:c>
      <x:c r="K21" s="12" t="str"/>
      <x:c r="L21" s="12" t="str"/>
      <x:c r="M21" s="12" t="str">
        <x:v>Prior implementation or draft; verification required</x:v>
      </x:c>
      <x:c r="N21" s="12" t="str"/>
      <x:c r="O21" s="12" t="str"/>
    </x:row>
    <x:row r="22" ht="47" customHeight="1">
      <x:c r="A22" s="12" t="str">
        <x:v>03.02</x:v>
      </x:c>
      <x:c r="B22" s="12" t="n">
        <x:v>3</x:v>
      </x:c>
      <x:c r="C22" s="12" t="str">
        <x:v>Research questions, hypotheses and measurement</x:v>
      </x:c>
      <x:c r="D22" s="12" t="str">
        <x:v>Methodology</x:v>
      </x:c>
      <x:c r="E22" s="12" t="str">
        <x:v>Operationalize constructs and outcomes</x:v>
      </x:c>
      <x:c r="F22" s="12" t="str">
        <x:v>Define evidence recall, relation-path recall, anchor correctness, unsupported claims, temporal leakage, hazard coverage and human outcomes.</x:v>
      </x:c>
      <x:c r="G22" s="12" t="str">
        <x:v>Measurement dictionary</x:v>
      </x:c>
      <x:c r="H22" s="12" t="str">
        <x:v>Not Started</x:v>
      </x:c>
      <x:c r="I22" s="12" t="str">
        <x:v>High</x:v>
      </x:c>
      <x:c r="J22" s="12" t="str">
        <x:v>03.01</x:v>
      </x:c>
      <x:c r="K22" s="12" t="str"/>
      <x:c r="L22" s="12" t="str"/>
      <x:c r="M22" s="12" t="str">
        <x:v>Planned / not evidenced</x:v>
      </x:c>
      <x:c r="N22" s="12" t="str"/>
      <x:c r="O22" s="12" t="str"/>
    </x:row>
    <x:row r="23" ht="47" customHeight="1">
      <x:c r="A23" s="12" t="str">
        <x:v>03.03</x:v>
      </x:c>
      <x:c r="B23" s="12" t="n">
        <x:v>3</x:v>
      </x:c>
      <x:c r="C23" s="12" t="str">
        <x:v>Research questions, hypotheses and measurement</x:v>
      </x:c>
      <x:c r="D23" s="12" t="str">
        <x:v>Methodology</x:v>
      </x:c>
      <x:c r="E23" s="12" t="str">
        <x:v>Predefine primary versus secondary metrics</x:v>
      </x:c>
      <x:c r="F23" s="12" t="str">
        <x:v>Prevent post hoc metric shopping; specify aggregation, denominators, failure handling, severity weighting and acceptable uncertainty.</x:v>
      </x:c>
      <x:c r="G23" s="12" t="str">
        <x:v>Metric specification and analysis plan</x:v>
      </x:c>
      <x:c r="H23" s="12" t="str">
        <x:v>Not Started</x:v>
      </x:c>
      <x:c r="I23" s="12" t="str">
        <x:v>High</x:v>
      </x:c>
      <x:c r="J23" s="12" t="str">
        <x:v>03.02</x:v>
      </x:c>
      <x:c r="K23" s="12" t="str"/>
      <x:c r="L23" s="12" t="str"/>
      <x:c r="M23" s="12" t="str">
        <x:v>Planned / not evidenced</x:v>
      </x:c>
      <x:c r="N23" s="12" t="str"/>
      <x:c r="O23" s="12" t="str"/>
    </x:row>
    <x:row r="24" ht="47" customHeight="1">
      <x:c r="A24" s="12" t="str">
        <x:v>03.04</x:v>
      </x:c>
      <x:c r="B24" s="12" t="n">
        <x:v>3</x:v>
      </x:c>
      <x:c r="C24" s="12" t="str">
        <x:v>Research questions, hypotheses and measurement</x:v>
      </x:c>
      <x:c r="D24" s="12" t="str">
        <x:v>Methodology</x:v>
      </x:c>
      <x:c r="E24" s="12" t="str">
        <x:v>Specify experimental units and sampling</x:v>
      </x:c>
      <x:c r="F24" s="12" t="str">
        <x:v>Define queries, artifacts, hazard tasks, work plans, participants, cases, repeated measures and cluster dependencies.</x:v>
      </x:c>
      <x:c r="G24" s="12" t="str">
        <x:v>Sampling and unit-of-analysis plan</x:v>
      </x:c>
      <x:c r="H24" s="12" t="str">
        <x:v>Not Started</x:v>
      </x:c>
      <x:c r="I24" s="12" t="str">
        <x:v>High</x:v>
      </x:c>
      <x:c r="J24" s="12" t="str">
        <x:v>03.02</x:v>
      </x:c>
      <x:c r="K24" s="12" t="str"/>
      <x:c r="L24" s="12" t="str"/>
      <x:c r="M24" s="12" t="str">
        <x:v>Planned / not evidenced</x:v>
      </x:c>
      <x:c r="N24" s="12" t="str"/>
      <x:c r="O24" s="12" t="str"/>
    </x:row>
    <x:row r="25" ht="47" customHeight="1">
      <x:c r="A25" s="12" t="str">
        <x:v>03.05</x:v>
      </x:c>
      <x:c r="B25" s="12" t="n">
        <x:v>3</x:v>
      </x:c>
      <x:c r="C25" s="12" t="str">
        <x:v>Research questions, hypotheses and measurement</x:v>
      </x:c>
      <x:c r="D25" s="12" t="str">
        <x:v>Methodology</x:v>
      </x:c>
      <x:c r="E25" s="12" t="str">
        <x:v>Write protocol for baseline and ablations</x:v>
      </x:c>
      <x:c r="F25" s="12" t="str">
        <x:v>Specify identical model, corpus, prompt budget, retrieval budget, hardware, settings and stopping rules for all conditions.</x:v>
      </x:c>
      <x:c r="G25" s="12" t="str">
        <x:v>Controlled experiment protocol</x:v>
      </x:c>
      <x:c r="H25" s="12" t="str">
        <x:v>Not Started</x:v>
      </x:c>
      <x:c r="I25" s="12" t="str">
        <x:v>High</x:v>
      </x:c>
      <x:c r="J25" s="12" t="str">
        <x:v>03.03</x:v>
      </x:c>
      <x:c r="K25" s="12" t="str"/>
      <x:c r="L25" s="12" t="str"/>
      <x:c r="M25" s="12" t="str">
        <x:v>Planned / not evidenced</x:v>
      </x:c>
      <x:c r="N25" s="12" t="str"/>
      <x:c r="O25" s="12" t="str"/>
    </x:row>
    <x:row r="26" ht="47" customHeight="1">
      <x:c r="A26" s="12" t="str">
        <x:v>03.06</x:v>
      </x:c>
      <x:c r="B26" s="12" t="n">
        <x:v>3</x:v>
      </x:c>
      <x:c r="C26" s="12" t="str">
        <x:v>Research questions, hypotheses and measurement</x:v>
      </x:c>
      <x:c r="D26" s="12" t="str">
        <x:v>Methodology</x:v>
      </x:c>
      <x:c r="E26" s="12" t="str">
        <x:v>Predefine statistical analysis</x:v>
      </x:c>
      <x:c r="F26" s="12" t="str">
        <x:v>Select confidence intervals, paired comparisons, effect sizes, multiple-testing handling, bootstrap/randomization and missing data.</x:v>
      </x:c>
      <x:c r="G26" s="12" t="str">
        <x:v>Statistical analysis plan</x:v>
      </x:c>
      <x:c r="H26" s="12" t="str">
        <x:v>Not Started</x:v>
      </x:c>
      <x:c r="I26" s="12" t="str">
        <x:v>High</x:v>
      </x:c>
      <x:c r="J26" s="12" t="str">
        <x:v>03.04;03.05</x:v>
      </x:c>
      <x:c r="K26" s="12" t="str"/>
      <x:c r="L26" s="12" t="str"/>
      <x:c r="M26" s="12" t="str">
        <x:v>Planned / not evidenced</x:v>
      </x:c>
      <x:c r="N26" s="12" t="str"/>
      <x:c r="O26" s="12" t="str"/>
    </x:row>
    <x:row r="27" ht="47" customHeight="1">
      <x:c r="A27" s="12" t="str">
        <x:v>03.07</x:v>
      </x:c>
      <x:c r="B27" s="12" t="n">
        <x:v>3</x:v>
      </x:c>
      <x:c r="C27" s="12" t="str">
        <x:v>Research questions, hypotheses and measurement</x:v>
      </x:c>
      <x:c r="D27" s="12" t="str">
        <x:v>Methodology</x:v>
      </x:c>
      <x:c r="E27" s="12" t="str">
        <x:v>Develop validity and ethics threat register</x:v>
      </x:c>
      <x:c r="F27" s="12" t="str">
        <x:v>Document hindsight leakage, evaluator bias, incomplete evidence, case representativeness, LLM judge bias and model drift.</x:v>
      </x:c>
      <x:c r="G27" s="12" t="str">
        <x:v>Threats-to-validity and mitigations register</x:v>
      </x:c>
      <x:c r="H27" s="12" t="str">
        <x:v>In Progress</x:v>
      </x:c>
      <x:c r="I27" s="12" t="str">
        <x:v>High</x:v>
      </x:c>
      <x:c r="J27" s="12" t="str">
        <x:v>03.01</x:v>
      </x:c>
      <x:c r="K27" s="12" t="str"/>
      <x:c r="L27" s="12" t="str"/>
      <x:c r="M27" s="12" t="str">
        <x:v>Prior implementation or draft; verification required</x:v>
      </x:c>
      <x:c r="N27" s="12" t="str"/>
      <x:c r="O27" s="12" t="str"/>
    </x:row>
    <x:row r="28" ht="47" customHeight="1">
      <x:c r="A28" s="12" t="str">
        <x:v>03.08</x:v>
      </x:c>
      <x:c r="B28" s="12" t="n">
        <x:v>3</x:v>
      </x:c>
      <x:c r="C28" s="12" t="str">
        <x:v>Research questions, hypotheses and measurement</x:v>
      </x:c>
      <x:c r="D28" s="12" t="str">
        <x:v>Methodology</x:v>
      </x:c>
      <x:c r="E28" s="12" t="str">
        <x:v>Pre-register protocol where appropriate</x:v>
      </x:c>
      <x:c r="F28" s="12" t="str">
        <x:v>Archive hypotheses, metrics, inclusion criteria and analyses before confirmatory runs; document exploratory deviations.</x:v>
      </x:c>
      <x:c r="G28" s="12" t="str">
        <x:v>Time-stamped protocol/preregistration</x:v>
      </x:c>
      <x:c r="H28" s="12" t="str">
        <x:v>Not Started</x:v>
      </x:c>
      <x:c r="I28" s="12" t="str">
        <x:v>High</x:v>
      </x:c>
      <x:c r="J28" s="12" t="str">
        <x:v>03.06;03.07</x:v>
      </x:c>
      <x:c r="K28" s="12" t="str"/>
      <x:c r="L28" s="12" t="str"/>
      <x:c r="M28" s="12" t="str">
        <x:v>Planned / not evidenced</x:v>
      </x:c>
      <x:c r="N28" s="12" t="str"/>
      <x:c r="O28" s="12" t="str"/>
    </x:row>
    <x:row r="29" ht="47" customHeight="1">
      <x:c r="A29" s="12" t="str">
        <x:v>03.09</x:v>
      </x:c>
      <x:c r="B29" s="12" t="n">
        <x:v>3</x:v>
      </x:c>
      <x:c r="C29" s="12" t="str">
        <x:v>Research questions, hypotheses and measurement</x:v>
      </x:c>
      <x:c r="D29" s="12" t="str">
        <x:v>Methodology</x:v>
      </x:c>
      <x:c r="E29" s="12" t="str">
        <x:v>Define stop/go gates and quality thresholds</x:v>
      </x:c>
      <x:c r="F29" s="12" t="str">
        <x:v>Specify conditions for dataset readiness, feature conformance, reproducibility, human-study launch and submission.</x:v>
      </x:c>
      <x:c r="G29" s="12" t="str">
        <x:v>Stage-gate acceptance checklist</x:v>
      </x:c>
      <x:c r="H29" s="12" t="str">
        <x:v>Not Started</x:v>
      </x:c>
      <x:c r="I29" s="12" t="str">
        <x:v>High</x:v>
      </x:c>
      <x:c r="J29" s="12" t="str">
        <x:v>03.03;03.07</x:v>
      </x:c>
      <x:c r="K29" s="12" t="str"/>
      <x:c r="L29" s="12" t="str"/>
      <x:c r="M29" s="12" t="str">
        <x:v>Planned / not evidenced</x:v>
      </x:c>
      <x:c r="N29" s="12" t="str"/>
      <x:c r="O29" s="12" t="str"/>
    </x:row>
    <x:row r="30" ht="47" customHeight="1">
      <x:c r="A30" s="12" t="str">
        <x:v>04.01</x:v>
      </x:c>
      <x:c r="B30" s="12" t="n">
        <x:v>4</x:v>
      </x:c>
      <x:c r="C30" s="12" t="str">
        <x:v>Repository, infrastructure and reproducibility</x:v>
      </x:c>
      <x:c r="D30" s="12" t="str">
        <x:v>Engineering</x:v>
      </x:c>
      <x:c r="E30" s="12" t="str">
        <x:v>Inventory backend, frontend and MCAS repositories</x:v>
      </x:c>
      <x:c r="F30" s="12" t="str">
        <x:v>Record actual repository URLs, branches, modules, build commands, versions, owners, secrets and missing source packages.</x:v>
      </x:c>
      <x:c r="G30" s="12" t="str">
        <x:v>Repository and environment inventory</x:v>
      </x:c>
      <x:c r="H30" s="12" t="str">
        <x:v>In Progress</x:v>
      </x:c>
      <x:c r="I30" s="12" t="str">
        <x:v>Medium</x:v>
      </x:c>
      <x:c r="J30" s="12" t="str">
        <x:v>01.01</x:v>
      </x:c>
      <x:c r="K30" s="12" t="str"/>
      <x:c r="L30" s="12" t="str"/>
      <x:c r="M30" s="12" t="str">
        <x:v>Prior implementation or draft; verification required</x:v>
      </x:c>
      <x:c r="N30" s="12" t="str"/>
      <x:c r="O30" s="12" t="str"/>
    </x:row>
    <x:row r="31" ht="47" customHeight="1">
      <x:c r="A31" s="12" t="str">
        <x:v>04.02</x:v>
      </x:c>
      <x:c r="B31" s="12" t="n">
        <x:v>4</x:v>
      </x:c>
      <x:c r="C31" s="12" t="str">
        <x:v>Repository, infrastructure and reproducibility</x:v>
      </x:c>
      <x:c r="D31" s="12" t="str">
        <x:v>Engineering</x:v>
      </x:c>
      <x:c r="E31" s="12" t="str">
        <x:v>Record verified toolchain versions</x:v>
      </x:c>
      <x:c r="F31" s="12" t="str">
        <x:v>Verify Java release 21 build target, observed Spring Boot 4.1.1, Maven, PostgreSQL, Node/npm and React toolchain against current manifests.</x:v>
      </x:c>
      <x:c r="G31" s="12" t="str">
        <x:v>Locked toolchain/version matrix</x:v>
      </x:c>
      <x:c r="H31" s="12" t="str">
        <x:v>In Progress</x:v>
      </x:c>
      <x:c r="I31" s="12" t="str">
        <x:v>Medium</x:v>
      </x:c>
      <x:c r="J31" s="12" t="str">
        <x:v>04.01</x:v>
      </x:c>
      <x:c r="K31" s="12" t="str"/>
      <x:c r="L31" s="12" t="str"/>
      <x:c r="M31" s="12" t="str">
        <x:v>Prior implementation or draft; verification required</x:v>
      </x:c>
      <x:c r="N31" s="12" t="str"/>
      <x:c r="O31" s="12" t="str"/>
    </x:row>
    <x:row r="32" ht="47" customHeight="1">
      <x:c r="A32" s="12" t="str">
        <x:v>04.03</x:v>
      </x:c>
      <x:c r="B32" s="12" t="n">
        <x:v>4</x:v>
      </x:c>
      <x:c r="C32" s="12" t="str">
        <x:v>Repository, infrastructure and reproducibility</x:v>
      </x:c>
      <x:c r="D32" s="12" t="str">
        <x:v>Engineering</x:v>
      </x:c>
      <x:c r="E32" s="12" t="str">
        <x:v>Build backend on clean machine</x:v>
      </x:c>
      <x:c r="F32" s="12" t="str">
        <x:v>Clone source, configure environment, resolve Maven dependencies, run clean verify and start Spring Boot without local assumptions.</x:v>
      </x:c>
      <x:c r="G32" s="12" t="str">
        <x:v>Fresh-machine backend build log</x:v>
      </x:c>
      <x:c r="H32" s="12" t="str">
        <x:v>Not Started</x:v>
      </x:c>
      <x:c r="I32" s="12" t="str">
        <x:v>Medium</x:v>
      </x:c>
      <x:c r="J32" s="12" t="str">
        <x:v>04.02</x:v>
      </x:c>
      <x:c r="K32" s="12" t="str"/>
      <x:c r="L32" s="12" t="str"/>
      <x:c r="M32" s="12" t="str">
        <x:v>Planned / not evidenced</x:v>
      </x:c>
      <x:c r="N32" s="12" t="str"/>
      <x:c r="O32" s="12" t="str"/>
    </x:row>
    <x:row r="33" ht="47" customHeight="1">
      <x:c r="A33" s="12" t="str">
        <x:v>04.04</x:v>
      </x:c>
      <x:c r="B33" s="12" t="n">
        <x:v>4</x:v>
      </x:c>
      <x:c r="C33" s="12" t="str">
        <x:v>Repository, infrastructure and reproducibility</x:v>
      </x:c>
      <x:c r="D33" s="12" t="str">
        <x:v>Engineering</x:v>
      </x:c>
      <x:c r="E33" s="12" t="str">
        <x:v>Build frontend on clean machine</x:v>
      </x:c>
      <x:c r="F33" s="12" t="str">
        <x:v>Install pinned Node dependencies, run typecheck/tests/production build, validate environment configuration and API routing.</x:v>
      </x:c>
      <x:c r="G33" s="12" t="str">
        <x:v>Fresh-machine frontend build log</x:v>
      </x:c>
      <x:c r="H33" s="12" t="str">
        <x:v>Not Started</x:v>
      </x:c>
      <x:c r="I33" s="12" t="str">
        <x:v>Medium</x:v>
      </x:c>
      <x:c r="J33" s="12" t="str">
        <x:v>04.02</x:v>
      </x:c>
      <x:c r="K33" s="12" t="str"/>
      <x:c r="L33" s="12" t="str"/>
      <x:c r="M33" s="12" t="str">
        <x:v>Planned / not evidenced</x:v>
      </x:c>
      <x:c r="N33" s="12" t="str"/>
      <x:c r="O33" s="12" t="str"/>
    </x:row>
    <x:row r="34" ht="47" customHeight="1">
      <x:c r="A34" s="12" t="str">
        <x:v>04.05</x:v>
      </x:c>
      <x:c r="B34" s="12" t="n">
        <x:v>4</x:v>
      </x:c>
      <x:c r="C34" s="12" t="str">
        <x:v>Repository, infrastructure and reproducibility</x:v>
      </x:c>
      <x:c r="D34" s="12" t="str">
        <x:v>Engineering</x:v>
      </x:c>
      <x:c r="E34" s="12" t="str">
        <x:v>Reconstruct PostgreSQL database reproducibly</x:v>
      </x:c>
      <x:c r="F34" s="12" t="str">
        <x:v>Provision empty database, apply ordered Flyway migrations, check schema invariants and verify repeatable startup.</x:v>
      </x:c>
      <x:c r="G34" s="12" t="str">
        <x:v>Database bootstrap and migration transcript</x:v>
      </x:c>
      <x:c r="H34" s="12" t="str">
        <x:v>In Progress</x:v>
      </x:c>
      <x:c r="I34" s="12" t="str">
        <x:v>Medium</x:v>
      </x:c>
      <x:c r="J34" s="12" t="str">
        <x:v>04.02</x:v>
      </x:c>
      <x:c r="K34" s="12" t="str"/>
      <x:c r="L34" s="12" t="str"/>
      <x:c r="M34" s="12" t="str">
        <x:v>Prior implementation or draft; verification required</x:v>
      </x:c>
      <x:c r="N34" s="12" t="str"/>
      <x:c r="O34" s="12" t="str"/>
    </x:row>
    <x:row r="35" ht="47" customHeight="1">
      <x:c r="A35" s="12" t="str">
        <x:v>04.06</x:v>
      </x:c>
      <x:c r="B35" s="12" t="n">
        <x:v>4</x:v>
      </x:c>
      <x:c r="C35" s="12" t="str">
        <x:v>Repository, infrastructure and reproducibility</x:v>
      </x:c>
      <x:c r="D35" s="12" t="str">
        <x:v>Engineering</x:v>
      </x:c>
      <x:c r="E35" s="12" t="str">
        <x:v>Prepare safe configuration and secret handling</x:v>
      </x:c>
      <x:c r="F35" s="12" t="str">
        <x:v>Create sanitized env examples, credentials rotation, local AI configuration and no-secret commit checks.</x:v>
      </x:c>
      <x:c r="G35" s="12" t="str">
        <x:v>Configuration templates and secrets policy</x:v>
      </x:c>
      <x:c r="H35" s="12" t="str">
        <x:v>Not Started</x:v>
      </x:c>
      <x:c r="I35" s="12" t="str">
        <x:v>Medium</x:v>
      </x:c>
      <x:c r="J35" s="12" t="str">
        <x:v>04.03;04.04</x:v>
      </x:c>
      <x:c r="K35" s="12" t="str"/>
      <x:c r="L35" s="12" t="str"/>
      <x:c r="M35" s="12" t="str">
        <x:v>Planned / not evidenced</x:v>
      </x:c>
      <x:c r="N35" s="12" t="str"/>
      <x:c r="O35" s="12" t="str"/>
    </x:row>
    <x:row r="36" ht="47" customHeight="1">
      <x:c r="A36" s="12" t="str">
        <x:v>04.07</x:v>
      </x:c>
      <x:c r="B36" s="12" t="n">
        <x:v>4</x:v>
      </x:c>
      <x:c r="C36" s="12" t="str">
        <x:v>Repository, infrastructure and reproducibility</x:v>
      </x:c>
      <x:c r="D36" s="12" t="str">
        <x:v>Engineering</x:v>
      </x:c>
      <x:c r="E36" s="12" t="str">
        <x:v>Automate CI build, tests and linting</x:v>
      </x:c>
      <x:c r="F36" s="12" t="str">
        <x:v>Create reproducible backend/frontend workflows with static analysis, migrations and artifact retention.</x:v>
      </x:c>
      <x:c r="G36" s="12" t="str">
        <x:v>CI workflow and status badge</x:v>
      </x:c>
      <x:c r="H36" s="12" t="str">
        <x:v>Not Started</x:v>
      </x:c>
      <x:c r="I36" s="12" t="str">
        <x:v>Medium</x:v>
      </x:c>
      <x:c r="J36" s="12" t="str">
        <x:v>04.03;04.04;04.05</x:v>
      </x:c>
      <x:c r="K36" s="12" t="str"/>
      <x:c r="L36" s="12" t="str"/>
      <x:c r="M36" s="12" t="str">
        <x:v>Planned / not evidenced</x:v>
      </x:c>
      <x:c r="N36" s="12" t="str"/>
      <x:c r="O36" s="12" t="str"/>
    </x:row>
    <x:row r="37" ht="47" customHeight="1">
      <x:c r="A37" s="12" t="str">
        <x:v>04.08</x:v>
      </x:c>
      <x:c r="B37" s="12" t="n">
        <x:v>4</x:v>
      </x:c>
      <x:c r="C37" s="12" t="str">
        <x:v>Repository, infrastructure and reproducibility</x:v>
      </x:c>
      <x:c r="D37" s="12" t="str">
        <x:v>Engineering</x:v>
      </x:c>
      <x:c r="E37" s="12" t="str">
        <x:v>Package runnable research release</x:v>
      </x:c>
      <x:c r="F37" s="12" t="str">
        <x:v>Provide versioned build, checksums, seed fixtures, installation README and reproducibility scripts.</x:v>
      </x:c>
      <x:c r="G37" s="12" t="str">
        <x:v>Tagged release and installation package</x:v>
      </x:c>
      <x:c r="H37" s="12" t="str">
        <x:v>Not Started</x:v>
      </x:c>
      <x:c r="I37" s="12" t="str">
        <x:v>Medium</x:v>
      </x:c>
      <x:c r="J37" s="12" t="str">
        <x:v>04.06;04.07</x:v>
      </x:c>
      <x:c r="K37" s="12" t="str"/>
      <x:c r="L37" s="12" t="str"/>
      <x:c r="M37" s="12" t="str">
        <x:v>Planned / not evidenced</x:v>
      </x:c>
      <x:c r="N37" s="12" t="str"/>
      <x:c r="O37" s="12" t="str"/>
    </x:row>
    <x:row r="38" ht="47" customHeight="1">
      <x:c r="A38" s="12" t="str">
        <x:v>04.09</x:v>
      </x:c>
      <x:c r="B38" s="12" t="n">
        <x:v>4</x:v>
      </x:c>
      <x:c r="C38" s="12" t="str">
        <x:v>Repository, infrastructure and reproducibility</x:v>
      </x:c>
      <x:c r="D38" s="12" t="str">
        <x:v>Engineering</x:v>
      </x:c>
      <x:c r="E38" s="12" t="str">
        <x:v>Establish experiment configuration capture</x:v>
      </x:c>
      <x:c r="F38" s="12" t="str">
        <x:v>Log git SHA, prompts, model ID, seed, embedding index version, hardware, data cutoff and feature flags per run.</x:v>
      </x:c>
      <x:c r="G38" s="12" t="str">
        <x:v>Machine-readable run manifest</x:v>
      </x:c>
      <x:c r="H38" s="12" t="str">
        <x:v>Not Started</x:v>
      </x:c>
      <x:c r="I38" s="12" t="str">
        <x:v>Medium</x:v>
      </x:c>
      <x:c r="J38" s="12" t="str">
        <x:v>04.07</x:v>
      </x:c>
      <x:c r="K38" s="12" t="str"/>
      <x:c r="L38" s="12" t="str"/>
      <x:c r="M38" s="12" t="str">
        <x:v>Planned / not evidenced</x:v>
      </x:c>
      <x:c r="N38" s="12" t="str"/>
      <x:c r="O38" s="12" t="str"/>
    </x:row>
    <x:row r="39" ht="47" customHeight="1">
      <x:c r="A39" s="12" t="str">
        <x:v>05.01</x:v>
      </x:c>
      <x:c r="B39" s="12" t="n">
        <x:v>5</x:v>
      </x:c>
      <x:c r="C39" s="12" t="str">
        <x:v>SafetyRAG core platform completion</x:v>
      </x:c>
      <x:c r="D39" s="12" t="str">
        <x:v>Engineering</x:v>
      </x:c>
      <x:c r="E39" s="12" t="str">
        <x:v>Confirm authentication and project workspace</x:v>
      </x:c>
      <x:c r="F39" s="12" t="str">
        <x:v>Regression-test registration/login/JWT, project isolation, role permissions, project lifecycle and navigation.</x:v>
      </x:c>
      <x:c r="G39" s="12" t="str">
        <x:v>Auth/project regression report</x:v>
      </x:c>
      <x:c r="H39" s="12" t="str">
        <x:v>Implemented—Verify</x:v>
      </x:c>
      <x:c r="I39" s="12" t="str">
        <x:v>Medium</x:v>
      </x:c>
      <x:c r="J39" s="12" t="str">
        <x:v>04.03;04.05</x:v>
      </x:c>
      <x:c r="K39" s="12" t="str"/>
      <x:c r="L39" s="12" t="str"/>
      <x:c r="M39" s="12" t="str">
        <x:v>Prior implementation or draft; verification required</x:v>
      </x:c>
      <x:c r="N39" s="12" t="str"/>
      <x:c r="O39" s="12" t="str"/>
    </x:row>
    <x:row r="40" ht="47" customHeight="1">
      <x:c r="A40" s="12" t="str">
        <x:v>05.02</x:v>
      </x:c>
      <x:c r="B40" s="12" t="n">
        <x:v>5</x:v>
      </x:c>
      <x:c r="C40" s="12" t="str">
        <x:v>SafetyRAG core platform completion</x:v>
      </x:c>
      <x:c r="D40" s="12" t="str">
        <x:v>Engineering</x:v>
      </x:c>
      <x:c r="E40" s="12" t="str">
        <x:v>Validate document ingestion and versions</x:v>
      </x:c>
      <x:c r="F40" s="12" t="str">
        <x:v>Test real PDF upload, extraction, metadata, revisions, duplicate handling, failures and download fidelity.</x:v>
      </x:c>
      <x:c r="G40" s="12" t="str">
        <x:v>Versioned document ingestion acceptance tests</x:v>
      </x:c>
      <x:c r="H40" s="12" t="str">
        <x:v>Implemented—Verify</x:v>
      </x:c>
      <x:c r="I40" s="12" t="str">
        <x:v>Medium</x:v>
      </x:c>
      <x:c r="J40" s="12" t="str">
        <x:v>05.01</x:v>
      </x:c>
      <x:c r="K40" s="12" t="str"/>
      <x:c r="L40" s="12" t="str"/>
      <x:c r="M40" s="12" t="str">
        <x:v>Prior implementation or draft; verification required</x:v>
      </x:c>
      <x:c r="N40" s="12" t="str"/>
      <x:c r="O40" s="12" t="str"/>
    </x:row>
    <x:row r="41" ht="47" customHeight="1">
      <x:c r="A41" s="12" t="str">
        <x:v>05.03</x:v>
      </x:c>
      <x:c r="B41" s="12" t="n">
        <x:v>5</x:v>
      </x:c>
      <x:c r="C41" s="12" t="str">
        <x:v>SafetyRAG core platform completion</x:v>
      </x:c>
      <x:c r="D41" s="12" t="str">
        <x:v>Engineering</x:v>
      </x:c>
      <x:c r="E41" s="12" t="str">
        <x:v>Validate evidence chunks and stable anchors</x:v>
      </x:c>
      <x:c r="F41" s="12" t="str">
        <x:v>Ensure source spans, page/section locators, content hashes and re-indexing stability; preserve immutable historical versions.</x:v>
      </x:c>
      <x:c r="G41" s="12" t="str">
        <x:v>Anchor resolution conformance suite</x:v>
      </x:c>
      <x:c r="H41" s="12" t="str">
        <x:v>Not Started</x:v>
      </x:c>
      <x:c r="I41" s="12" t="str">
        <x:v>Medium</x:v>
      </x:c>
      <x:c r="J41" s="12" t="str">
        <x:v>05.02</x:v>
      </x:c>
      <x:c r="K41" s="12" t="str"/>
      <x:c r="L41" s="12" t="str"/>
      <x:c r="M41" s="12" t="str">
        <x:v>Planned / not evidenced</x:v>
      </x:c>
      <x:c r="N41" s="12" t="str"/>
      <x:c r="O41" s="12" t="str"/>
    </x:row>
    <x:row r="42" ht="47" customHeight="1">
      <x:c r="A42" s="12" t="str">
        <x:v>05.04</x:v>
      </x:c>
      <x:c r="B42" s="12" t="n">
        <x:v>5</x:v>
      </x:c>
      <x:c r="C42" s="12" t="str">
        <x:v>SafetyRAG core platform completion</x:v>
      </x:c>
      <x:c r="D42" s="12" t="str">
        <x:v>Engineering</x:v>
      </x:c>
      <x:c r="E42" s="12" t="str">
        <x:v>Validate requirements and system-model workflows</x:v>
      </x:c>
      <x:c r="F42" s="12" t="str">
        <x:v>Exercise requirement import/edit, architecture components, associations, project scoping and traceability.</x:v>
      </x:c>
      <x:c r="G42" s="12" t="str">
        <x:v>Requirements/model test fixtures</x:v>
      </x:c>
      <x:c r="H42" s="12" t="str">
        <x:v>Implemented—Verify</x:v>
      </x:c>
      <x:c r="I42" s="12" t="str">
        <x:v>Medium</x:v>
      </x:c>
      <x:c r="J42" s="12" t="str">
        <x:v>05.01</x:v>
      </x:c>
      <x:c r="K42" s="12" t="str"/>
      <x:c r="L42" s="12" t="str"/>
      <x:c r="M42" s="12" t="str">
        <x:v>Prior implementation or draft; verification required</x:v>
      </x:c>
      <x:c r="N42" s="12" t="str"/>
      <x:c r="O42" s="12" t="str"/>
    </x:row>
    <x:row r="43" ht="47" customHeight="1">
      <x:c r="A43" s="12" t="str">
        <x:v>05.05</x:v>
      </x:c>
      <x:c r="B43" s="12" t="n">
        <x:v>5</x:v>
      </x:c>
      <x:c r="C43" s="12" t="str">
        <x:v>SafetyRAG core platform completion</x:v>
      </x:c>
      <x:c r="D43" s="12" t="str">
        <x:v>Engineering</x:v>
      </x:c>
      <x:c r="E43" s="12" t="str">
        <x:v>Validate SEG node and edge lifecycle</x:v>
      </x:c>
      <x:c r="F43" s="12" t="str">
        <x:v>Test node/edge types, relation constraints, orphan prevention, duplicate handling, provenance and review status.</x:v>
      </x:c>
      <x:c r="G43" s="12" t="str">
        <x:v>SEG schema and API contract tests</x:v>
      </x:c>
      <x:c r="H43" s="12" t="str">
        <x:v>Implemented—Verify</x:v>
      </x:c>
      <x:c r="I43" s="12" t="str">
        <x:v>Medium</x:v>
      </x:c>
      <x:c r="J43" s="12" t="str">
        <x:v>05.03;05.04</x:v>
      </x:c>
      <x:c r="K43" s="12" t="str"/>
      <x:c r="L43" s="12" t="str"/>
      <x:c r="M43" s="12" t="str">
        <x:v>Prior implementation or draft; verification required</x:v>
      </x:c>
      <x:c r="N43" s="12" t="str"/>
      <x:c r="O43" s="12" t="str"/>
    </x:row>
    <x:row r="44" ht="47" customHeight="1">
      <x:c r="A44" s="12" t="str">
        <x:v>05.06</x:v>
      </x:c>
      <x:c r="B44" s="12" t="n">
        <x:v>5</x:v>
      </x:c>
      <x:c r="C44" s="12" t="str">
        <x:v>SafetyRAG core platform completion</x:v>
      </x:c>
      <x:c r="D44" s="12" t="str">
        <x:v>Engineering</x:v>
      </x:c>
      <x:c r="E44" s="12" t="str">
        <x:v>Validate AI extraction and SEG synchronization</x:v>
      </x:c>
      <x:c r="F44" s="12" t="str">
        <x:v>Measure extracted entity/edge accuracy, provenance completeness, synchronization idempotency and reviewer control.</x:v>
      </x:c>
      <x:c r="G44" s="12" t="str">
        <x:v>AI extraction and sync test report</x:v>
      </x:c>
      <x:c r="H44" s="12" t="str">
        <x:v>Implemented—Verify</x:v>
      </x:c>
      <x:c r="I44" s="12" t="str">
        <x:v>Medium</x:v>
      </x:c>
      <x:c r="J44" s="12" t="str">
        <x:v>05.05</x:v>
      </x:c>
      <x:c r="K44" s="12" t="str"/>
      <x:c r="L44" s="12" t="str"/>
      <x:c r="M44" s="12" t="str">
        <x:v>Prior implementation or draft; verification required</x:v>
      </x:c>
      <x:c r="N44" s="12" t="str"/>
      <x:c r="O44" s="12" t="str"/>
    </x:row>
    <x:row r="45" ht="47" customHeight="1">
      <x:c r="A45" s="12" t="str">
        <x:v>05.07</x:v>
      </x:c>
      <x:c r="B45" s="12" t="n">
        <x:v>5</x:v>
      </x:c>
      <x:c r="C45" s="12" t="str">
        <x:v>SafetyRAG core platform completion</x:v>
      </x:c>
      <x:c r="D45" s="12" t="str">
        <x:v>Engineering</x:v>
      </x:c>
      <x:c r="E45" s="12" t="str">
        <x:v>Validate hazard and control analysis services</x:v>
      </x:c>
      <x:c r="F45" s="12" t="str">
        <x:v>Test hazard generation, missing controls, STPA/FMEA/FTA integration points, project scope and result persistence.</x:v>
      </x:c>
      <x:c r="G45" s="12" t="str">
        <x:v>Safety analysis API integration tests</x:v>
      </x:c>
      <x:c r="H45" s="12" t="str">
        <x:v>Implemented—Verify</x:v>
      </x:c>
      <x:c r="I45" s="12" t="str">
        <x:v>Medium</x:v>
      </x:c>
      <x:c r="J45" s="12" t="str">
        <x:v>05.05</x:v>
      </x:c>
      <x:c r="K45" s="12" t="str"/>
      <x:c r="L45" s="12" t="str"/>
      <x:c r="M45" s="12" t="str">
        <x:v>Prior implementation or draft; verification required</x:v>
      </x:c>
      <x:c r="N45" s="12" t="str"/>
      <x:c r="O45" s="12" t="str"/>
    </x:row>
    <x:row r="46" ht="47" customHeight="1">
      <x:c r="A46" s="12" t="str">
        <x:v>05.08</x:v>
      </x:c>
      <x:c r="B46" s="12" t="n">
        <x:v>5</x:v>
      </x:c>
      <x:c r="C46" s="12" t="str">
        <x:v>SafetyRAG core platform completion</x:v>
      </x:c>
      <x:c r="D46" s="12" t="str">
        <x:v>Engineering</x:v>
      </x:c>
      <x:c r="E46" s="12" t="str">
        <x:v>Validate findings and human review workflow</x:v>
      </x:c>
      <x:c r="F46" s="12" t="str">
        <x:v>Exercise stored runs, quotations, citation checks, accept/reject decisions, reviewer identity and cross-run summaries.</x:v>
      </x:c>
      <x:c r="G46" s="12" t="str">
        <x:v>Finding/review acceptance test suite</x:v>
      </x:c>
      <x:c r="H46" s="12" t="str">
        <x:v>Implemented—Verify</x:v>
      </x:c>
      <x:c r="I46" s="12" t="str">
        <x:v>Medium</x:v>
      </x:c>
      <x:c r="J46" s="12" t="str">
        <x:v>05.06;05.07</x:v>
      </x:c>
      <x:c r="K46" s="12" t="str"/>
      <x:c r="L46" s="12" t="str"/>
      <x:c r="M46" s="12" t="str">
        <x:v>Prior implementation or draft; verification required</x:v>
      </x:c>
      <x:c r="N46" s="12" t="str"/>
      <x:c r="O46" s="12" t="str"/>
    </x:row>
    <x:row r="47" ht="47" customHeight="1">
      <x:c r="A47" s="12" t="str">
        <x:v>05.09</x:v>
      </x:c>
      <x:c r="B47" s="12" t="n">
        <x:v>5</x:v>
      </x:c>
      <x:c r="C47" s="12" t="str">
        <x:v>SafetyRAG core platform completion</x:v>
      </x:c>
      <x:c r="D47" s="12" t="str">
        <x:v>Engineering</x:v>
      </x:c>
      <x:c r="E47" s="12" t="str">
        <x:v>Enforce authorization and immutable audit events</x:v>
      </x:c>
      <x:c r="F47" s="12" t="str">
        <x:v>Prove AI cannot self-accept; unauthorized transitions fail; edits preserve history and evidence snapshots.</x:v>
      </x:c>
      <x:c r="G47" s="12" t="str">
        <x:v>RBAC/state-machine invariant tests</x:v>
      </x:c>
      <x:c r="H47" s="12" t="str">
        <x:v>Not Started</x:v>
      </x:c>
      <x:c r="I47" s="12" t="str">
        <x:v>Medium</x:v>
      </x:c>
      <x:c r="J47" s="12" t="str">
        <x:v>05.08</x:v>
      </x:c>
      <x:c r="K47" s="12" t="str"/>
      <x:c r="L47" s="12" t="str"/>
      <x:c r="M47" s="12" t="str">
        <x:v>Planned / not evidenced</x:v>
      </x:c>
      <x:c r="N47" s="12" t="str"/>
      <x:c r="O47" s="12" t="str"/>
    </x:row>
    <x:row r="48" ht="47" customHeight="1">
      <x:c r="A48" s="12" t="str">
        <x:v>05.10</x:v>
      </x:c>
      <x:c r="B48" s="12" t="n">
        <x:v>5</x:v>
      </x:c>
      <x:c r="C48" s="12" t="str">
        <x:v>SafetyRAG core platform completion</x:v>
      </x:c>
      <x:c r="D48" s="12" t="str">
        <x:v>Engineering</x:v>
      </x:c>
      <x:c r="E48" s="12" t="str">
        <x:v>End-to-end platform acceptance</x:v>
      </x:c>
      <x:c r="F48" s="12" t="str">
        <x:v>From new project through upload, SEG, analysis, evidence inspection and review, run with no developer intervention.</x:v>
      </x:c>
      <x:c r="G48" s="12" t="str">
        <x:v>End-to-end acceptance report and demo</x:v>
      </x:c>
      <x:c r="H48" s="12" t="str">
        <x:v>Not Started</x:v>
      </x:c>
      <x:c r="I48" s="12" t="str">
        <x:v>Medium</x:v>
      </x:c>
      <x:c r="J48" s="12" t="str">
        <x:v>05.02;05.06;05.08;05.09</x:v>
      </x:c>
      <x:c r="K48" s="12" t="str"/>
      <x:c r="L48" s="12" t="str"/>
      <x:c r="M48" s="12" t="str">
        <x:v>Planned / not evidenced</x:v>
      </x:c>
      <x:c r="N48" s="12" t="str"/>
      <x:c r="O48" s="12" t="str"/>
    </x:row>
    <x:row r="49" ht="47" customHeight="1">
      <x:c r="A49" s="12" t="str">
        <x:v>06.01</x:v>
      </x:c>
      <x:c r="B49" s="12" t="n">
        <x:v>6</x:v>
      </x:c>
      <x:c r="C49" s="12" t="str">
        <x:v>Formal evidence model and guarantees</x:v>
      </x:c>
      <x:c r="D49" s="12" t="str">
        <x:v>Architecture</x:v>
      </x:c>
      <x:c r="E49" s="12" t="str">
        <x:v>Specify SEG ontology and typed signatures</x:v>
      </x:c>
      <x:c r="F49" s="12" t="str">
        <x:v>Define node/edge kinds, allowable endpoints, identity, multiplicity, relationship meaning and integrity constraints.</x:v>
      </x:c>
      <x:c r="G49" s="12" t="str">
        <x:v>Formal SEG schema and examples</x:v>
      </x:c>
      <x:c r="H49" s="12" t="str">
        <x:v>In Progress</x:v>
      </x:c>
      <x:c r="I49" s="12" t="str">
        <x:v>Medium</x:v>
      </x:c>
      <x:c r="J49" s="12" t="str">
        <x:v>02.05;05.05</x:v>
      </x:c>
      <x:c r="K49" s="12" t="str"/>
      <x:c r="L49" s="12" t="str"/>
      <x:c r="M49" s="12" t="str">
        <x:v>Prior implementation or draft; verification required</x:v>
      </x:c>
      <x:c r="N49" s="12" t="str"/>
      <x:c r="O49" s="12" t="str"/>
    </x:row>
    <x:row r="50" ht="47" customHeight="1">
      <x:c r="A50" s="12" t="str">
        <x:v>06.02</x:v>
      </x:c>
      <x:c r="B50" s="12" t="n">
        <x:v>6</x:v>
      </x:c>
      <x:c r="C50" s="12" t="str">
        <x:v>Formal evidence model and guarantees</x:v>
      </x:c>
      <x:c r="D50" s="12" t="str">
        <x:v>Architecture</x:v>
      </x:c>
      <x:c r="E50" s="12" t="str">
        <x:v>Specify version-qualified evidence anchors</x:v>
      </x:c>
      <x:c r="F50" s="12" t="str">
        <x:v>Define source ID, revision, digest, exact span, extractor provenance and stable resolution behavior.</x:v>
      </x:c>
      <x:c r="G50" s="12" t="str">
        <x:v>Anchor contract and JSON schema</x:v>
      </x:c>
      <x:c r="H50" s="12" t="str">
        <x:v>In Progress</x:v>
      </x:c>
      <x:c r="I50" s="12" t="str">
        <x:v>Medium</x:v>
      </x:c>
      <x:c r="J50" s="12" t="str">
        <x:v>06.01;05.03</x:v>
      </x:c>
      <x:c r="K50" s="12" t="str"/>
      <x:c r="L50" s="12" t="str"/>
      <x:c r="M50" s="12" t="str">
        <x:v>Prior implementation or draft; verification required</x:v>
      </x:c>
      <x:c r="N50" s="12" t="str"/>
      <x:c r="O50" s="12" t="str"/>
    </x:row>
    <x:row r="51" ht="47" customHeight="1">
      <x:c r="A51" s="12" t="str">
        <x:v>06.03</x:v>
      </x:c>
      <x:c r="B51" s="12" t="n">
        <x:v>6</x:v>
      </x:c>
      <x:c r="C51" s="12" t="str">
        <x:v>Formal evidence model and guarantees</x:v>
      </x:c>
      <x:c r="D51" s="12" t="str">
        <x:v>Architecture</x:v>
      </x:c>
      <x:c r="E51" s="12" t="str">
        <x:v>Specify retrieval admissibility predicate</x:v>
      </x:c>
      <x:c r="F51" s="12" t="str">
        <x:v>Formalize project, access, source-version and historical cutoff eligibility, including graph expansions.</x:v>
      </x:c>
      <x:c r="G51" s="12" t="str">
        <x:v>Admissibility rules and proofs/obligations</x:v>
      </x:c>
      <x:c r="H51" s="12" t="str">
        <x:v>In Progress</x:v>
      </x:c>
      <x:c r="I51" s="12" t="str">
        <x:v>Medium</x:v>
      </x:c>
      <x:c r="J51" s="12" t="str">
        <x:v>06.02</x:v>
      </x:c>
      <x:c r="K51" s="12" t="str"/>
      <x:c r="L51" s="12" t="str"/>
      <x:c r="M51" s="12" t="str">
        <x:v>Prior implementation or draft; verification required</x:v>
      </x:c>
      <x:c r="N51" s="12" t="str"/>
      <x:c r="O51" s="12" t="str"/>
    </x:row>
    <x:row r="52" ht="47" customHeight="1">
      <x:c r="A52" s="12" t="str">
        <x:v>06.04</x:v>
      </x:c>
      <x:c r="B52" s="12" t="n">
        <x:v>6</x:v>
      </x:c>
      <x:c r="C52" s="12" t="str">
        <x:v>Formal evidence model and guarantees</x:v>
      </x:c>
      <x:c r="D52" s="12" t="str">
        <x:v>Architecture</x:v>
      </x:c>
      <x:c r="E52" s="12" t="str">
        <x:v>Specify atomic claim-support semantics</x:v>
      </x:c>
      <x:c r="F52" s="12" t="str">
        <x:v>Define supported, refuted, mixed, insufficient and unverified states; distinguish relevance from entailment.</x:v>
      </x:c>
      <x:c r="G52" s="12" t="str">
        <x:v>Claim judgment rubric and contract</x:v>
      </x:c>
      <x:c r="H52" s="12" t="str">
        <x:v>In Progress</x:v>
      </x:c>
      <x:c r="I52" s="12" t="str">
        <x:v>Medium</x:v>
      </x:c>
      <x:c r="J52" s="12" t="str">
        <x:v>06.02;03.02</x:v>
      </x:c>
      <x:c r="K52" s="12" t="str"/>
      <x:c r="L52" s="12" t="str"/>
      <x:c r="M52" s="12" t="str">
        <x:v>Prior implementation or draft; verification required</x:v>
      </x:c>
      <x:c r="N52" s="12" t="str"/>
      <x:c r="O52" s="12" t="str"/>
    </x:row>
    <x:row r="53" ht="47" customHeight="1">
      <x:c r="A53" s="12" t="str">
        <x:v>06.05</x:v>
      </x:c>
      <x:c r="B53" s="12" t="n">
        <x:v>6</x:v>
      </x:c>
      <x:c r="C53" s="12" t="str">
        <x:v>Formal evidence model and guarantees</x:v>
      </x:c>
      <x:c r="D53" s="12" t="str">
        <x:v>Architecture</x:v>
      </x:c>
      <x:c r="E53" s="12" t="str">
        <x:v>Specify review authorization state machine</x:v>
      </x:c>
      <x:c r="F53" s="12" t="str">
        <x:v>Define proposed/reviewed/accepted/rejected/deferred transitions, identity, role checks and immutable audit.</x:v>
      </x:c>
      <x:c r="G53" s="12" t="str">
        <x:v>Finding lifecycle specification</x:v>
      </x:c>
      <x:c r="H53" s="12" t="str">
        <x:v>In Progress</x:v>
      </x:c>
      <x:c r="I53" s="12" t="str">
        <x:v>Medium</x:v>
      </x:c>
      <x:c r="J53" s="12" t="str">
        <x:v>06.04;05.08</x:v>
      </x:c>
      <x:c r="K53" s="12" t="str"/>
      <x:c r="L53" s="12" t="str"/>
      <x:c r="M53" s="12" t="str">
        <x:v>Prior implementation or draft; verification required</x:v>
      </x:c>
      <x:c r="N53" s="12" t="str"/>
      <x:c r="O53" s="12" t="str"/>
    </x:row>
    <x:row r="54" ht="47" customHeight="1">
      <x:c r="A54" s="12" t="str">
        <x:v>06.06</x:v>
      </x:c>
      <x:c r="B54" s="12" t="n">
        <x:v>6</x:v>
      </x:c>
      <x:c r="C54" s="12" t="str">
        <x:v>Formal evidence model and guarantees</x:v>
      </x:c>
      <x:c r="D54" s="12" t="str">
        <x:v>Architecture</x:v>
      </x:c>
      <x:c r="E54" s="12" t="str">
        <x:v>Write architecture conformance tests</x:v>
      </x:c>
      <x:c r="F54" s="12" t="str">
        <x:v>Build positive/negative fixtures for invalid edges, stale anchors, unauthorized access and wrong-time evidence.</x:v>
      </x:c>
      <x:c r="G54" s="12" t="str">
        <x:v>Automated invariant test suite</x:v>
      </x:c>
      <x:c r="H54" s="12" t="str">
        <x:v>Not Started</x:v>
      </x:c>
      <x:c r="I54" s="12" t="str">
        <x:v>Medium</x:v>
      </x:c>
      <x:c r="J54" s="12" t="str">
        <x:v>06.01;06.03;06.05</x:v>
      </x:c>
      <x:c r="K54" s="12" t="str"/>
      <x:c r="L54" s="12" t="str"/>
      <x:c r="M54" s="12" t="str">
        <x:v>Planned / not evidenced</x:v>
      </x:c>
      <x:c r="N54" s="12" t="str"/>
      <x:c r="O54" s="12" t="str"/>
    </x:row>
    <x:row r="55" ht="47" customHeight="1">
      <x:c r="A55" s="12" t="str">
        <x:v>06.07</x:v>
      </x:c>
      <x:c r="B55" s="12" t="n">
        <x:v>6</x:v>
      </x:c>
      <x:c r="C55" s="12" t="str">
        <x:v>Formal evidence model and guarantees</x:v>
      </x:c>
      <x:c r="D55" s="12" t="str">
        <x:v>Architecture</x:v>
      </x:c>
      <x:c r="E55" s="12" t="str">
        <x:v>Test source changes and adversarial evidence</x:v>
      </x:c>
      <x:c r="F55" s="12" t="str">
        <x:v>Modify source versions, revoke access, inject misleading citations and conflicting passages; measure invariant failures.</x:v>
      </x:c>
      <x:c r="G55" s="12" t="str">
        <x:v>Adversarial conformance report</x:v>
      </x:c>
      <x:c r="H55" s="12" t="str">
        <x:v>Not Started</x:v>
      </x:c>
      <x:c r="I55" s="12" t="str">
        <x:v>Medium</x:v>
      </x:c>
      <x:c r="J55" s="12" t="str">
        <x:v>06.06</x:v>
      </x:c>
      <x:c r="K55" s="12" t="str"/>
      <x:c r="L55" s="12" t="str"/>
      <x:c r="M55" s="12" t="str">
        <x:v>Planned / not evidenced</x:v>
      </x:c>
      <x:c r="N55" s="12" t="str"/>
      <x:c r="O55" s="12" t="str"/>
    </x:row>
    <x:row r="56" ht="47" customHeight="1">
      <x:c r="A56" s="12" t="str">
        <x:v>06.08</x:v>
      </x:c>
      <x:c r="B56" s="12" t="n">
        <x:v>6</x:v>
      </x:c>
      <x:c r="C56" s="12" t="str">
        <x:v>Formal evidence model and guarantees</x:v>
      </x:c>
      <x:c r="D56" s="12" t="str">
        <x:v>Architecture</x:v>
      </x:c>
      <x:c r="E56" s="12" t="str">
        <x:v>Document guarantees versus limitations</x:v>
      </x:c>
      <x:c r="F56" s="12" t="str">
        <x:v>Separate enforceable software properties from unproved semantic correctness or certification guarantees.</x:v>
      </x:c>
      <x:c r="G56" s="12" t="str">
        <x:v>Architecture assurance and limitations section</x:v>
      </x:c>
      <x:c r="H56" s="12" t="str">
        <x:v>Not Started</x:v>
      </x:c>
      <x:c r="I56" s="12" t="str">
        <x:v>Medium</x:v>
      </x:c>
      <x:c r="J56" s="12" t="str">
        <x:v>06.07</x:v>
      </x:c>
      <x:c r="K56" s="12" t="str"/>
      <x:c r="L56" s="12" t="str"/>
      <x:c r="M56" s="12" t="str">
        <x:v>Planned / not evidenced</x:v>
      </x:c>
      <x:c r="N56" s="12" t="str"/>
      <x:c r="O56" s="12" t="str"/>
    </x:row>
    <x:row r="57" ht="47" customHeight="1">
      <x:c r="A57" s="12" t="str">
        <x:v>07.01</x:v>
      </x:c>
      <x:c r="B57" s="12" t="n">
        <x:v>7</x:v>
      </x:c>
      <x:c r="C57" s="12" t="str">
        <x:v>Retrieval, verification and AI pipeline</x:v>
      </x:c>
      <x:c r="D57" s="12" t="str">
        <x:v>Engineering</x:v>
      </x:c>
      <x:c r="E57" s="12" t="str">
        <x:v>Establish reproducible lexical retrieval</x:v>
      </x:c>
      <x:c r="F57" s="12" t="str">
        <x:v>Index artifact versions and implement BM25 with project/access filters and stable result IDs.</x:v>
      </x:c>
      <x:c r="G57" s="12" t="str">
        <x:v>BM25 baseline and tests</x:v>
      </x:c>
      <x:c r="H57" s="12" t="str">
        <x:v>Not Started</x:v>
      </x:c>
      <x:c r="I57" s="12" t="str">
        <x:v>Medium</x:v>
      </x:c>
      <x:c r="J57" s="12" t="str">
        <x:v>05.03;04.09</x:v>
      </x:c>
      <x:c r="K57" s="12" t="str"/>
      <x:c r="L57" s="12" t="str"/>
      <x:c r="M57" s="12" t="str">
        <x:v>Planned / not evidenced</x:v>
      </x:c>
      <x:c r="N57" s="12" t="str"/>
      <x:c r="O57" s="12" t="str"/>
    </x:row>
    <x:row r="58" ht="47" customHeight="1">
      <x:c r="A58" s="12" t="str">
        <x:v>07.02</x:v>
      </x:c>
      <x:c r="B58" s="12" t="n">
        <x:v>7</x:v>
      </x:c>
      <x:c r="C58" s="12" t="str">
        <x:v>Retrieval, verification and AI pipeline</x:v>
      </x:c>
      <x:c r="D58" s="12" t="str">
        <x:v>Engineering</x:v>
      </x:c>
      <x:c r="E58" s="12" t="str">
        <x:v>Establish reproducible dense retrieval</x:v>
      </x:c>
      <x:c r="F58" s="12" t="str">
        <x:v>Pin embedding model, chunk policy, similarity metric and vector index; log rebuild metadata.</x:v>
      </x:c>
      <x:c r="G58" s="12" t="str">
        <x:v>Dense RAG baseline and index manifest</x:v>
      </x:c>
      <x:c r="H58" s="12" t="str">
        <x:v>Not Started</x:v>
      </x:c>
      <x:c r="I58" s="12" t="str">
        <x:v>Medium</x:v>
      </x:c>
      <x:c r="J58" s="12" t="str">
        <x:v>07.01</x:v>
      </x:c>
      <x:c r="K58" s="12" t="str"/>
      <x:c r="L58" s="12" t="str"/>
      <x:c r="M58" s="12" t="str">
        <x:v>Planned / not evidenced</x:v>
      </x:c>
      <x:c r="N58" s="12" t="str"/>
      <x:c r="O58" s="12" t="str"/>
    </x:row>
    <x:row r="59" ht="47" customHeight="1">
      <x:c r="A59" s="12" t="str">
        <x:v>07.03</x:v>
      </x:c>
      <x:c r="B59" s="12" t="n">
        <x:v>7</x:v>
      </x:c>
      <x:c r="C59" s="12" t="str">
        <x:v>Retrieval, verification and AI pipeline</x:v>
      </x:c>
      <x:c r="D59" s="12" t="str">
        <x:v>Engineering</x:v>
      </x:c>
      <x:c r="E59" s="12" t="str">
        <x:v>Implement and tune hybrid fusion</x:v>
      </x:c>
      <x:c r="F59" s="12" t="str">
        <x:v>Specify fusion and reranking, retrieval budget, tie-breaking and threshold selection using development data.</x:v>
      </x:c>
      <x:c r="G59" s="12" t="str">
        <x:v>Hybrid retrieval service and tuning report</x:v>
      </x:c>
      <x:c r="H59" s="12" t="str">
        <x:v>Not Started</x:v>
      </x:c>
      <x:c r="I59" s="12" t="str">
        <x:v>Medium</x:v>
      </x:c>
      <x:c r="J59" s="12" t="str">
        <x:v>07.01;07.02</x:v>
      </x:c>
      <x:c r="K59" s="12" t="str"/>
      <x:c r="L59" s="12" t="str"/>
      <x:c r="M59" s="12" t="str">
        <x:v>Planned / not evidenced</x:v>
      </x:c>
      <x:c r="N59" s="12" t="str"/>
      <x:c r="O59" s="12" t="str"/>
    </x:row>
    <x:row r="60" ht="47" customHeight="1">
      <x:c r="A60" s="12" t="str">
        <x:v>07.04</x:v>
      </x:c>
      <x:c r="B60" s="12" t="n">
        <x:v>7</x:v>
      </x:c>
      <x:c r="C60" s="12" t="str">
        <x:v>Retrieval, verification and AI pipeline</x:v>
      </x:c>
      <x:c r="D60" s="12" t="str">
        <x:v>Engineering</x:v>
      </x:c>
      <x:c r="E60" s="12" t="str">
        <x:v>Implement graph-aware retrieval</x:v>
      </x:c>
      <x:c r="F60" s="12" t="str">
        <x:v>Traverse typed SEG relations with path constraints, cycle limits, provenance and relevance scoring.</x:v>
      </x:c>
      <x:c r="G60" s="12" t="str">
        <x:v>Graph retrieval module and path traces</x:v>
      </x:c>
      <x:c r="H60" s="12" t="str">
        <x:v>Not Started</x:v>
      </x:c>
      <x:c r="I60" s="12" t="str">
        <x:v>Medium</x:v>
      </x:c>
      <x:c r="J60" s="12" t="str">
        <x:v>06.01;07.03</x:v>
      </x:c>
      <x:c r="K60" s="12" t="str"/>
      <x:c r="L60" s="12" t="str"/>
      <x:c r="M60" s="12" t="str">
        <x:v>Planned / not evidenced</x:v>
      </x:c>
      <x:c r="N60" s="12" t="str"/>
      <x:c r="O60" s="12" t="str"/>
    </x:row>
    <x:row r="61" ht="47" customHeight="1">
      <x:c r="A61" s="12" t="str">
        <x:v>07.05</x:v>
      </x:c>
      <x:c r="B61" s="12" t="n">
        <x:v>7</x:v>
      </x:c>
      <x:c r="C61" s="12" t="str">
        <x:v>Retrieval, verification and AI pipeline</x:v>
      </x:c>
      <x:c r="D61" s="12" t="str">
        <x:v>Engineering</x:v>
      </x:c>
      <x:c r="E61" s="12" t="str">
        <x:v>Enforce access/version/time in every channel</x:v>
      </x:c>
      <x:c r="F61" s="12" t="str">
        <x:v>Apply identical admissibility across lexical, vector, reranking, graph expansion and final evidence assembly.</x:v>
      </x:c>
      <x:c r="G61" s="12" t="str">
        <x:v>Retrieval eligibility regression tests</x:v>
      </x:c>
      <x:c r="H61" s="12" t="str">
        <x:v>Not Started</x:v>
      </x:c>
      <x:c r="I61" s="12" t="str">
        <x:v>Medium</x:v>
      </x:c>
      <x:c r="J61" s="12" t="str">
        <x:v>06.03;07.04</x:v>
      </x:c>
      <x:c r="K61" s="12" t="str"/>
      <x:c r="L61" s="12" t="str"/>
      <x:c r="M61" s="12" t="str">
        <x:v>Planned / not evidenced</x:v>
      </x:c>
      <x:c r="N61" s="12" t="str"/>
      <x:c r="O61" s="12" t="str"/>
    </x:row>
    <x:row r="62" ht="47" customHeight="1">
      <x:c r="A62" s="12" t="str">
        <x:v>07.06</x:v>
      </x:c>
      <x:c r="B62" s="12" t="n">
        <x:v>7</x:v>
      </x:c>
      <x:c r="C62" s="12" t="str">
        <x:v>Retrieval, verification and AI pipeline</x:v>
      </x:c>
      <x:c r="D62" s="12" t="str">
        <x:v>Engineering</x:v>
      </x:c>
      <x:c r="E62" s="12" t="str">
        <x:v>Implement grounded claim generation</x:v>
      </x:c>
      <x:c r="F62" s="12" t="str">
        <x:v>Generate atomic safety claims with source anchors, uncertainty, abstention and structured machine-readable output.</x:v>
      </x:c>
      <x:c r="G62" s="12" t="str">
        <x:v>Claim generation schema and prompts</x:v>
      </x:c>
      <x:c r="H62" s="12" t="str">
        <x:v>Not Started</x:v>
      </x:c>
      <x:c r="I62" s="12" t="str">
        <x:v>Medium</x:v>
      </x:c>
      <x:c r="J62" s="12" t="str">
        <x:v>07.05;06.04</x:v>
      </x:c>
      <x:c r="K62" s="12" t="str"/>
      <x:c r="L62" s="12" t="str"/>
      <x:c r="M62" s="12" t="str">
        <x:v>Planned / not evidenced</x:v>
      </x:c>
      <x:c r="N62" s="12" t="str"/>
      <x:c r="O62" s="12" t="str"/>
    </x:row>
    <x:row r="63" ht="47" customHeight="1">
      <x:c r="A63" s="12" t="str">
        <x:v>07.07</x:v>
      </x:c>
      <x:c r="B63" s="12" t="n">
        <x:v>7</x:v>
      </x:c>
      <x:c r="C63" s="12" t="str">
        <x:v>Retrieval, verification and AI pipeline</x:v>
      </x:c>
      <x:c r="D63" s="12" t="str">
        <x:v>Engineering</x:v>
      </x:c>
      <x:c r="E63" s="12" t="str">
        <x:v>Implement claim verification and conflict detection</x:v>
      </x:c>
      <x:c r="F63" s="12" t="str">
        <x:v>Independently evaluate whether eligible spans entail, contradict or fail to support each claim; retain rationales.</x:v>
      </x:c>
      <x:c r="G63" s="12" t="str">
        <x:v>Verifier service and calibration dataset</x:v>
      </x:c>
      <x:c r="H63" s="12" t="str">
        <x:v>Not Started</x:v>
      </x:c>
      <x:c r="I63" s="12" t="str">
        <x:v>Medium</x:v>
      </x:c>
      <x:c r="J63" s="12" t="str">
        <x:v>07.06</x:v>
      </x:c>
      <x:c r="K63" s="12" t="str"/>
      <x:c r="L63" s="12" t="str"/>
      <x:c r="M63" s="12" t="str">
        <x:v>Planned / not evidenced</x:v>
      </x:c>
      <x:c r="N63" s="12" t="str"/>
      <x:c r="O63" s="12" t="str"/>
    </x:row>
    <x:row r="64" ht="47" customHeight="1">
      <x:c r="A64" s="12" t="str">
        <x:v>07.08</x:v>
      </x:c>
      <x:c r="B64" s="12" t="n">
        <x:v>7</x:v>
      </x:c>
      <x:c r="C64" s="12" t="str">
        <x:v>Retrieval, verification and AI pipeline</x:v>
      </x:c>
      <x:c r="D64" s="12" t="str">
        <x:v>Engineering</x:v>
      </x:c>
      <x:c r="E64" s="12" t="str">
        <x:v>Evaluate prompt-injection and source manipulation</x:v>
      </x:c>
      <x:c r="F64" s="12" t="str">
        <x:v>Test untrusted document instructions, citation laundering, contradictory evidence and hallucinated anchors.</x:v>
      </x:c>
      <x:c r="G64" s="12" t="str">
        <x:v>Security and robustness test report</x:v>
      </x:c>
      <x:c r="H64" s="12" t="str">
        <x:v>Not Started</x:v>
      </x:c>
      <x:c r="I64" s="12" t="str">
        <x:v>Medium</x:v>
      </x:c>
      <x:c r="J64" s="12" t="str">
        <x:v>07.07</x:v>
      </x:c>
      <x:c r="K64" s="12" t="str"/>
      <x:c r="L64" s="12" t="str"/>
      <x:c r="M64" s="12" t="str">
        <x:v>Planned / not evidenced</x:v>
      </x:c>
      <x:c r="N64" s="12" t="str"/>
      <x:c r="O64" s="12" t="str"/>
    </x:row>
    <x:row r="65" ht="47" customHeight="1">
      <x:c r="A65" s="12" t="str">
        <x:v>07.09</x:v>
      </x:c>
      <x:c r="B65" s="12" t="n">
        <x:v>7</x:v>
      </x:c>
      <x:c r="C65" s="12" t="str">
        <x:v>Retrieval, verification and AI pipeline</x:v>
      </x:c>
      <x:c r="D65" s="12" t="str">
        <x:v>Engineering</x:v>
      </x:c>
      <x:c r="E65" s="12" t="str">
        <x:v>Benchmark pipeline cost and latency</x:v>
      </x:c>
      <x:c r="F65" s="12" t="str">
        <x:v>Measure ingestion, retrieval, generation, verification, reviewer time, tokens and memory under repeat runs.</x:v>
      </x:c>
      <x:c r="G65" s="12" t="str">
        <x:v>Latency/cost performance profile</x:v>
      </x:c>
      <x:c r="H65" s="12" t="str">
        <x:v>Not Started</x:v>
      </x:c>
      <x:c r="I65" s="12" t="str">
        <x:v>Medium</x:v>
      </x:c>
      <x:c r="J65" s="12" t="str">
        <x:v>07.03;07.07</x:v>
      </x:c>
      <x:c r="K65" s="12" t="str"/>
      <x:c r="L65" s="12" t="str"/>
      <x:c r="M65" s="12" t="str">
        <x:v>Planned / not evidenced</x:v>
      </x:c>
      <x:c r="N65" s="12" t="str"/>
      <x:c r="O65" s="12" t="str"/>
    </x:row>
    <x:row r="66" ht="47" customHeight="1">
      <x:c r="A66" s="12" t="str">
        <x:v>08.01</x:v>
      </x:c>
      <x:c r="B66" s="12" t="n">
        <x:v>8</x:v>
      </x:c>
      <x:c r="C66" s="12" t="str">
        <x:v>MCAS source corpus and evidence integrity</x:v>
      </x:c>
      <x:c r="D66" s="12" t="str">
        <x:v>Case Study</x:v>
      </x:c>
      <x:c r="E66" s="12" t="str">
        <x:v>Define MCAS case-study scope and periods</x:v>
      </x:c>
      <x:c r="F66" s="12" t="str">
        <x:v>Identify aircraft/system boundaries, events, accident chronology and pre-/post-event analytical cutoffs.</x:v>
      </x:c>
      <x:c r="G66" s="12" t="str">
        <x:v>MCAS study protocol and timeline</x:v>
      </x:c>
      <x:c r="H66" s="12" t="str">
        <x:v>In Progress</x:v>
      </x:c>
      <x:c r="I66" s="12" t="str">
        <x:v>Medium</x:v>
      </x:c>
      <x:c r="J66" s="12" t="str">
        <x:v>03.01</x:v>
      </x:c>
      <x:c r="K66" s="12" t="str"/>
      <x:c r="L66" s="12" t="str"/>
      <x:c r="M66" s="12" t="str">
        <x:v>Prior implementation or draft; verification required</x:v>
      </x:c>
      <x:c r="N66" s="12" t="str"/>
      <x:c r="O66" s="12" t="str"/>
    </x:row>
    <x:row r="67" ht="47" customHeight="1">
      <x:c r="A67" s="12" t="str">
        <x:v>08.02</x:v>
      </x:c>
      <x:c r="B67" s="12" t="n">
        <x:v>8</x:v>
      </x:c>
      <x:c r="C67" s="12" t="str">
        <x:v>MCAS source corpus and evidence integrity</x:v>
      </x:c>
      <x:c r="D67" s="12" t="str">
        <x:v>Case Study</x:v>
      </x:c>
      <x:c r="E67" s="12" t="str">
        <x:v>Build authoritative source inventory</x:v>
      </x:c>
      <x:c r="F67" s="12" t="str">
        <x:v>Catalog FAA, NTSB, JATR, congressional, certification and technical sources; distinguish public facts from reconstruction.</x:v>
      </x:c>
      <x:c r="G67" s="12" t="str">
        <x:v>Source catalog with provenance</x:v>
      </x:c>
      <x:c r="H67" s="12" t="str">
        <x:v>In Progress</x:v>
      </x:c>
      <x:c r="I67" s="12" t="str">
        <x:v>Medium</x:v>
      </x:c>
      <x:c r="J67" s="12" t="str">
        <x:v>08.01</x:v>
      </x:c>
      <x:c r="K67" s="12" t="str"/>
      <x:c r="L67" s="12" t="str"/>
      <x:c r="M67" s="12" t="str">
        <x:v>Prior implementation or draft; verification required</x:v>
      </x:c>
      <x:c r="N67" s="12" t="str"/>
      <x:c r="O67" s="12" t="str"/>
    </x:row>
    <x:row r="68" ht="47" customHeight="1">
      <x:c r="A68" s="12" t="str">
        <x:v>08.03</x:v>
      </x:c>
      <x:c r="B68" s="12" t="n">
        <x:v>8</x:v>
      </x:c>
      <x:c r="C68" s="12" t="str">
        <x:v>MCAS source corpus and evidence integrity</x:v>
      </x:c>
      <x:c r="D68" s="12" t="str">
        <x:v>Case Study</x:v>
      </x:c>
      <x:c r="E68" s="12" t="str">
        <x:v>Verify licensing, access and authenticity</x:v>
      </x:c>
      <x:c r="F68" s="12" t="str">
        <x:v>Record source URLs, publication dates, versions, licensing and integrity hashes; avoid treating reconstructed material as original.</x:v>
      </x:c>
      <x:c r="G68" s="12" t="str">
        <x:v>Source rights and integrity ledger</x:v>
      </x:c>
      <x:c r="H68" s="12" t="str">
        <x:v>Not Started</x:v>
      </x:c>
      <x:c r="I68" s="12" t="str">
        <x:v>Medium</x:v>
      </x:c>
      <x:c r="J68" s="12" t="str">
        <x:v>08.02</x:v>
      </x:c>
      <x:c r="K68" s="12" t="str"/>
      <x:c r="L68" s="12" t="str"/>
      <x:c r="M68" s="12" t="str">
        <x:v>Planned / not evidenced</x:v>
      </x:c>
      <x:c r="N68" s="12" t="str"/>
      <x:c r="O68" s="12" t="str"/>
    </x:row>
    <x:row r="69" ht="47" customHeight="1">
      <x:c r="A69" s="12" t="str">
        <x:v>08.04</x:v>
      </x:c>
      <x:c r="B69" s="12" t="n">
        <x:v>8</x:v>
      </x:c>
      <x:c r="C69" s="12" t="str">
        <x:v>MCAS source corpus and evidence integrity</x:v>
      </x:c>
      <x:c r="D69" s="12" t="str">
        <x:v>Case Study</x:v>
      </x:c>
      <x:c r="E69" s="12" t="str">
        <x:v>Extract MCAS requirements and assumptions</x:v>
      </x:c>
      <x:c r="F69" s="12" t="str">
        <x:v>Create source-linked requirements, sensor assumptions, control logic and operating envelopes with confidence/uncertainty tags.</x:v>
      </x:c>
      <x:c r="G69" s="12" t="str">
        <x:v>Requirements and assumptions dataset</x:v>
      </x:c>
      <x:c r="H69" s="12" t="str">
        <x:v>In Progress</x:v>
      </x:c>
      <x:c r="I69" s="12" t="str">
        <x:v>Medium</x:v>
      </x:c>
      <x:c r="J69" s="12" t="str">
        <x:v>08.02</x:v>
      </x:c>
      <x:c r="K69" s="12" t="str"/>
      <x:c r="L69" s="12" t="str"/>
      <x:c r="M69" s="12" t="str">
        <x:v>Prior implementation or draft; verification required</x:v>
      </x:c>
      <x:c r="N69" s="12" t="str"/>
      <x:c r="O69" s="12" t="str"/>
    </x:row>
    <x:row r="70" ht="47" customHeight="1">
      <x:c r="A70" s="12" t="str">
        <x:v>08.05</x:v>
      </x:c>
      <x:c r="B70" s="12" t="n">
        <x:v>8</x:v>
      </x:c>
      <x:c r="C70" s="12" t="str">
        <x:v>MCAS source corpus and evidence integrity</x:v>
      </x:c>
      <x:c r="D70" s="12" t="str">
        <x:v>Case Study</x:v>
      </x:c>
      <x:c r="E70" s="12" t="str">
        <x:v>Extract architecture and control interfaces</x:v>
      </x:c>
      <x:c r="F70" s="12" t="str">
        <x:v>Represent AoA inputs, flight-control computation, trim actuator, pilot interaction and system boundaries.</x:v>
      </x:c>
      <x:c r="G70" s="12" t="str">
        <x:v>MCAS architecture model and interface map</x:v>
      </x:c>
      <x:c r="H70" s="12" t="str">
        <x:v>In Progress</x:v>
      </x:c>
      <x:c r="I70" s="12" t="str">
        <x:v>Medium</x:v>
      </x:c>
      <x:c r="J70" s="12" t="str">
        <x:v>08.04</x:v>
      </x:c>
      <x:c r="K70" s="12" t="str"/>
      <x:c r="L70" s="12" t="str"/>
      <x:c r="M70" s="12" t="str">
        <x:v>Prior implementation or draft; verification required</x:v>
      </x:c>
      <x:c r="N70" s="12" t="str"/>
      <x:c r="O70" s="12" t="str"/>
    </x:row>
    <x:row r="71" ht="47" customHeight="1">
      <x:c r="A71" s="12" t="str">
        <x:v>08.06</x:v>
      </x:c>
      <x:c r="B71" s="12" t="n">
        <x:v>8</x:v>
      </x:c>
      <x:c r="C71" s="12" t="str">
        <x:v>MCAS source corpus and evidence integrity</x:v>
      </x:c>
      <x:c r="D71" s="12" t="str">
        <x:v>Case Study</x:v>
      </x:c>
      <x:c r="E71" s="12" t="str">
        <x:v>Build hazard and safety-constraint inventory</x:v>
      </x:c>
      <x:c r="F71" s="12" t="str">
        <x:v>Use STPA and published evidence to identify hazards, unsafe control actions, causal scenarios and constraints.</x:v>
      </x:c>
      <x:c r="G71" s="12" t="str">
        <x:v>Adjudication-ready MCAS hazard log</x:v>
      </x:c>
      <x:c r="H71" s="12" t="str">
        <x:v>In Progress</x:v>
      </x:c>
      <x:c r="I71" s="12" t="str">
        <x:v>Medium</x:v>
      </x:c>
      <x:c r="J71" s="12" t="str">
        <x:v>08.04;08.05</x:v>
      </x:c>
      <x:c r="K71" s="12" t="str"/>
      <x:c r="L71" s="12" t="str"/>
      <x:c r="M71" s="12" t="str">
        <x:v>Prior implementation or draft; verification required</x:v>
      </x:c>
      <x:c r="N71" s="12" t="str"/>
      <x:c r="O71" s="12" t="str"/>
    </x:row>
    <x:row r="72" ht="47" customHeight="1">
      <x:c r="A72" s="12" t="str">
        <x:v>08.07</x:v>
      </x:c>
      <x:c r="B72" s="12" t="n">
        <x:v>8</x:v>
      </x:c>
      <x:c r="C72" s="12" t="str">
        <x:v>MCAS source corpus and evidence integrity</x:v>
      </x:c>
      <x:c r="D72" s="12" t="str">
        <x:v>Case Study</x:v>
      </x:c>
      <x:c r="E72" s="12" t="str">
        <x:v>Build historical admissibility partitions</x:v>
      </x:c>
      <x:c r="F72" s="12" t="str">
        <x:v>Separate evidence available at each cutoff from post-event findings; label retrospective-only evidence.</x:v>
      </x:c>
      <x:c r="G72" s="12" t="str">
        <x:v>Time-sliced evidence corpus</x:v>
      </x:c>
      <x:c r="H72" s="12" t="str">
        <x:v>Not Started</x:v>
      </x:c>
      <x:c r="I72" s="12" t="str">
        <x:v>Medium</x:v>
      </x:c>
      <x:c r="J72" s="12" t="str">
        <x:v>08.02;06.03</x:v>
      </x:c>
      <x:c r="K72" s="12" t="str"/>
      <x:c r="L72" s="12" t="str"/>
      <x:c r="M72" s="12" t="str">
        <x:v>Planned / not evidenced</x:v>
      </x:c>
      <x:c r="N72" s="12" t="str"/>
      <x:c r="O72" s="12" t="str"/>
    </x:row>
    <x:row r="73" ht="47" customHeight="1">
      <x:c r="A73" s="12" t="str">
        <x:v>08.08</x:v>
      </x:c>
      <x:c r="B73" s="12" t="n">
        <x:v>8</x:v>
      </x:c>
      <x:c r="C73" s="12" t="str">
        <x:v>MCAS source corpus and evidence integrity</x:v>
      </x:c>
      <x:c r="D73" s="12" t="str">
        <x:v>Case Study</x:v>
      </x:c>
      <x:c r="E73" s="12" t="str">
        <x:v>Map sources to SEG with precise anchors</x:v>
      </x:c>
      <x:c r="F73" s="12" t="str">
        <x:v>Link requirements, components, hazards, controls, tests and incident evidence using typed and versioned assertions.</x:v>
      </x:c>
      <x:c r="G73" s="12" t="str">
        <x:v>MCAS SEG import package</x:v>
      </x:c>
      <x:c r="H73" s="12" t="str">
        <x:v>Not Started</x:v>
      </x:c>
      <x:c r="I73" s="12" t="str">
        <x:v>Medium</x:v>
      </x:c>
      <x:c r="J73" s="12" t="str">
        <x:v>08.03;08.06;06.02</x:v>
      </x:c>
      <x:c r="K73" s="12" t="str"/>
      <x:c r="L73" s="12" t="str"/>
      <x:c r="M73" s="12" t="str">
        <x:v>Planned / not evidenced</x:v>
      </x:c>
      <x:c r="N73" s="12" t="str"/>
      <x:c r="O73" s="12" t="str"/>
    </x:row>
    <x:row r="74" ht="47" customHeight="1">
      <x:c r="A74" s="12" t="str">
        <x:v>08.09</x:v>
      </x:c>
      <x:c r="B74" s="12" t="n">
        <x:v>8</x:v>
      </x:c>
      <x:c r="C74" s="12" t="str">
        <x:v>MCAS source corpus and evidence integrity</x:v>
      </x:c>
      <x:c r="D74" s="12" t="str">
        <x:v>Case Study</x:v>
      </x:c>
      <x:c r="E74" s="12" t="str">
        <x:v>Independent domain review of MCAS dataset</x:v>
      </x:c>
      <x:c r="F74" s="12" t="str">
        <x:v>Have experts audit claims, contested interpretations, source citations and scenario labels; record disagreement.</x:v>
      </x:c>
      <x:c r="G74" s="12" t="str">
        <x:v>Adjudicated MCAS evidence baseline</x:v>
      </x:c>
      <x:c r="H74" s="12" t="str">
        <x:v>Not Started</x:v>
      </x:c>
      <x:c r="I74" s="12" t="str">
        <x:v>Medium</x:v>
      </x:c>
      <x:c r="J74" s="12" t="str">
        <x:v>08.07;08.08</x:v>
      </x:c>
      <x:c r="K74" s="12" t="str"/>
      <x:c r="L74" s="12" t="str"/>
      <x:c r="M74" s="12" t="str">
        <x:v>Planned / not evidenced</x:v>
      </x:c>
      <x:c r="N74" s="12" t="str"/>
      <x:c r="O74" s="12" t="str"/>
    </x:row>
    <x:row r="75" ht="47" customHeight="1">
      <x:c r="A75" s="12" t="str">
        <x:v>09.01</x:v>
      </x:c>
      <x:c r="B75" s="12" t="n">
        <x:v>9</x:v>
      </x:c>
      <x:c r="C75" s="12" t="str">
        <x:v>MCAS simulator and fault-injection platform</x:v>
      </x:c>
      <x:c r="D75" s="12" t="str">
        <x:v>Case Study</x:v>
      </x:c>
      <x:c r="E75" s="12" t="str">
        <x:v>Audit existing modular MCAS Java reactor</x:v>
      </x:c>
      <x:c r="F75" s="12" t="str">
        <x:v>Confirm simulator modules, Java package conventions, reproducible Maven build, tests and currently working scenarios.</x:v>
      </x:c>
      <x:c r="G75" s="12" t="str">
        <x:v>Simulator code audit and build manifest</x:v>
      </x:c>
      <x:c r="H75" s="12" t="str">
        <x:v>Implemented—Verify</x:v>
      </x:c>
      <x:c r="I75" s="12" t="str">
        <x:v>Medium</x:v>
      </x:c>
      <x:c r="J75" s="12" t="str">
        <x:v>04.02;08.01</x:v>
      </x:c>
      <x:c r="K75" s="12" t="str"/>
      <x:c r="L75" s="12" t="str"/>
      <x:c r="M75" s="12" t="str">
        <x:v>Prior implementation or draft; verification required</x:v>
      </x:c>
      <x:c r="N75" s="12" t="str"/>
      <x:c r="O75" s="12" t="str"/>
    </x:row>
    <x:row r="76" ht="47" customHeight="1">
      <x:c r="A76" s="12" t="str">
        <x:v>09.02</x:v>
      </x:c>
      <x:c r="B76" s="12" t="n">
        <x:v>9</x:v>
      </x:c>
      <x:c r="C76" s="12" t="str">
        <x:v>MCAS simulator and fault-injection platform</x:v>
      </x:c>
      <x:c r="D76" s="12" t="str">
        <x:v>Case Study</x:v>
      </x:c>
      <x:c r="E76" s="12" t="str">
        <x:v>Freeze flight-control model assumptions</x:v>
      </x:c>
      <x:c r="F76" s="12" t="str">
        <x:v>Document simplified pitch, stabilizer, AoA sensing, pilot actions and limitations relative to real aircraft.</x:v>
      </x:c>
      <x:c r="G76" s="12" t="str">
        <x:v>Simulator assumptions and model card</x:v>
      </x:c>
      <x:c r="H76" s="12" t="str">
        <x:v>In Progress</x:v>
      </x:c>
      <x:c r="I76" s="12" t="str">
        <x:v>Medium</x:v>
      </x:c>
      <x:c r="J76" s="12" t="str">
        <x:v>09.01;08.05</x:v>
      </x:c>
      <x:c r="K76" s="12" t="str"/>
      <x:c r="L76" s="12" t="str"/>
      <x:c r="M76" s="12" t="str">
        <x:v>Prior implementation or draft; verification required</x:v>
      </x:c>
      <x:c r="N76" s="12" t="str"/>
      <x:c r="O76" s="12" t="str"/>
    </x:row>
    <x:row r="77" ht="47" customHeight="1">
      <x:c r="A77" s="12" t="str">
        <x:v>09.03</x:v>
      </x:c>
      <x:c r="B77" s="12" t="n">
        <x:v>9</x:v>
      </x:c>
      <x:c r="C77" s="12" t="str">
        <x:v>MCAS simulator and fault-injection platform</x:v>
      </x:c>
      <x:c r="D77" s="12" t="str">
        <x:v>Case Study</x:v>
      </x:c>
      <x:c r="E77" s="12" t="str">
        <x:v>Define nominal reference scenarios</x:v>
      </x:c>
      <x:c r="F77" s="12" t="str">
        <x:v>Specify stable/nominal operation and expected signals, units, event timing and baseline acceptance criteria.</x:v>
      </x:c>
      <x:c r="G77" s="12" t="str">
        <x:v>Nominal scenario fixtures</x:v>
      </x:c>
      <x:c r="H77" s="12" t="str">
        <x:v>In Progress</x:v>
      </x:c>
      <x:c r="I77" s="12" t="str">
        <x:v>Medium</x:v>
      </x:c>
      <x:c r="J77" s="12" t="str">
        <x:v>09.02</x:v>
      </x:c>
      <x:c r="K77" s="12" t="str"/>
      <x:c r="L77" s="12" t="str"/>
      <x:c r="M77" s="12" t="str">
        <x:v>Prior implementation or draft; verification required</x:v>
      </x:c>
      <x:c r="N77" s="12" t="str"/>
      <x:c r="O77" s="12" t="str"/>
    </x:row>
    <x:row r="78" ht="47" customHeight="1">
      <x:c r="A78" s="12" t="str">
        <x:v>09.04</x:v>
      </x:c>
      <x:c r="B78" s="12" t="n">
        <x:v>9</x:v>
      </x:c>
      <x:c r="C78" s="12" t="str">
        <x:v>MCAS simulator and fault-injection platform</x:v>
      </x:c>
      <x:c r="D78" s="12" t="str">
        <x:v>Case Study</x:v>
      </x:c>
      <x:c r="E78" s="12" t="str">
        <x:v>Implement and test sensor fault injections</x:v>
      </x:c>
      <x:c r="F78" s="12" t="str">
        <x:v>Cover biased/stuck/noisy/disagreeing AoA and temporal fault sequences with repeatable seeds.</x:v>
      </x:c>
      <x:c r="G78" s="12" t="str">
        <x:v>Fault injection suite</x:v>
      </x:c>
      <x:c r="H78" s="12" t="str">
        <x:v>Implemented—Verify</x:v>
      </x:c>
      <x:c r="I78" s="12" t="str">
        <x:v>Medium</x:v>
      </x:c>
      <x:c r="J78" s="12" t="str">
        <x:v>09.03</x:v>
      </x:c>
      <x:c r="K78" s="12" t="str"/>
      <x:c r="L78" s="12" t="str"/>
      <x:c r="M78" s="12" t="str">
        <x:v>Prior implementation or draft; verification required</x:v>
      </x:c>
      <x:c r="N78" s="12" t="str"/>
      <x:c r="O78" s="12" t="str"/>
    </x:row>
    <x:row r="79" ht="47" customHeight="1">
      <x:c r="A79" s="12" t="str">
        <x:v>09.05</x:v>
      </x:c>
      <x:c r="B79" s="12" t="n">
        <x:v>9</x:v>
      </x:c>
      <x:c r="C79" s="12" t="str">
        <x:v>MCAS simulator and fault-injection platform</x:v>
      </x:c>
      <x:c r="D79" s="12" t="str">
        <x:v>Case Study</x:v>
      </x:c>
      <x:c r="E79" s="12" t="str">
        <x:v>Implement pilot and monitoring responses</x:v>
      </x:c>
      <x:c r="F79" s="12" t="str">
        <x:v>Exercise pilot workload, recognition, corrective actions, safety monitor interventions and detection thresholds.</x:v>
      </x:c>
      <x:c r="G79" s="12" t="str">
        <x:v>Human/monitor simulation tests</x:v>
      </x:c>
      <x:c r="H79" s="12" t="str">
        <x:v>Implemented—Verify</x:v>
      </x:c>
      <x:c r="I79" s="12" t="str">
        <x:v>Medium</x:v>
      </x:c>
      <x:c r="J79" s="12" t="str">
        <x:v>09.04</x:v>
      </x:c>
      <x:c r="K79" s="12" t="str"/>
      <x:c r="L79" s="12" t="str"/>
      <x:c r="M79" s="12" t="str">
        <x:v>Prior implementation or draft; verification required</x:v>
      </x:c>
      <x:c r="N79" s="12" t="str"/>
      <x:c r="O79" s="12" t="str"/>
    </x:row>
    <x:row r="80" ht="47" customHeight="1">
      <x:c r="A80" s="12" t="str">
        <x:v>09.06</x:v>
      </x:c>
      <x:c r="B80" s="12" t="n">
        <x:v>9</x:v>
      </x:c>
      <x:c r="C80" s="12" t="str">
        <x:v>MCAS simulator and fault-injection platform</x:v>
      </x:c>
      <x:c r="D80" s="12" t="str">
        <x:v>Case Study</x:v>
      </x:c>
      <x:c r="E80" s="12" t="str">
        <x:v>Implement unsafe-control and hazard scenarios</x:v>
      </x:c>
      <x:c r="F80" s="12" t="str">
        <x:v>Map model behavior to explicit unsafe control actions, hazardous states and severity criteria.</x:v>
      </x:c>
      <x:c r="G80" s="12" t="str">
        <x:v>Scenario catalog and hazard labels</x:v>
      </x:c>
      <x:c r="H80" s="12" t="str">
        <x:v>In Progress</x:v>
      </x:c>
      <x:c r="I80" s="12" t="str">
        <x:v>Medium</x:v>
      </x:c>
      <x:c r="J80" s="12" t="str">
        <x:v>09.04;08.06</x:v>
      </x:c>
      <x:c r="K80" s="12" t="str"/>
      <x:c r="L80" s="12" t="str"/>
      <x:c r="M80" s="12" t="str">
        <x:v>Prior implementation or draft; verification required</x:v>
      </x:c>
      <x:c r="N80" s="12" t="str"/>
      <x:c r="O80" s="12" t="str"/>
    </x:row>
    <x:row r="81" ht="47" customHeight="1">
      <x:c r="A81" s="12" t="str">
        <x:v>09.07</x:v>
      </x:c>
      <x:c r="B81" s="12" t="n">
        <x:v>9</x:v>
      </x:c>
      <x:c r="C81" s="12" t="str">
        <x:v>MCAS simulator and fault-injection platform</x:v>
      </x:c>
      <x:c r="D81" s="12" t="str">
        <x:v>Case Study</x:v>
      </x:c>
      <x:c r="E81" s="12" t="str">
        <x:v>Validate simulator against published constraints</x:v>
      </x:c>
      <x:c r="F81" s="12" t="str">
        <x:v>Check qualitative behavior and trace consistency with credible sources; disclose fidelity limits.</x:v>
      </x:c>
      <x:c r="G81" s="12" t="str">
        <x:v>Simulator validation report</x:v>
      </x:c>
      <x:c r="H81" s="12" t="str">
        <x:v>Not Started</x:v>
      </x:c>
      <x:c r="I81" s="12" t="str">
        <x:v>Medium</x:v>
      </x:c>
      <x:c r="J81" s="12" t="str">
        <x:v>09.05;09.06</x:v>
      </x:c>
      <x:c r="K81" s="12" t="str"/>
      <x:c r="L81" s="12" t="str"/>
      <x:c r="M81" s="12" t="str">
        <x:v>Planned / not evidenced</x:v>
      </x:c>
      <x:c r="N81" s="12" t="str"/>
      <x:c r="O81" s="12" t="str"/>
    </x:row>
    <x:row r="82" ht="47" customHeight="1">
      <x:c r="A82" s="12" t="str">
        <x:v>09.08</x:v>
      </x:c>
      <x:c r="B82" s="12" t="n">
        <x:v>9</x:v>
      </x:c>
      <x:c r="C82" s="12" t="str">
        <x:v>MCAS simulator and fault-injection platform</x:v>
      </x:c>
      <x:c r="D82" s="12" t="str">
        <x:v>Case Study</x:v>
      </x:c>
      <x:c r="E82" s="12" t="str">
        <x:v>Export reproducible simulation evidence</x:v>
      </x:c>
      <x:c r="F82" s="12" t="str">
        <x:v>Emit structured event traces, parameters, seeds, hashes, manifests and stable evidence IDs.</x:v>
      </x:c>
      <x:c r="G82" s="12" t="str">
        <x:v>Versioned simulation evidence package</x:v>
      </x:c>
      <x:c r="H82" s="12" t="str">
        <x:v>Not Started</x:v>
      </x:c>
      <x:c r="I82" s="12" t="str">
        <x:v>Medium</x:v>
      </x:c>
      <x:c r="J82" s="12" t="str">
        <x:v>09.07;04.09</x:v>
      </x:c>
      <x:c r="K82" s="12" t="str"/>
      <x:c r="L82" s="12" t="str"/>
      <x:c r="M82" s="12" t="str">
        <x:v>Planned / not evidenced</x:v>
      </x:c>
      <x:c r="N82" s="12" t="str"/>
      <x:c r="O82" s="12" t="str"/>
    </x:row>
    <x:row r="83" ht="47" customHeight="1">
      <x:c r="A83" s="12" t="str">
        <x:v>09.09</x:v>
      </x:c>
      <x:c r="B83" s="12" t="n">
        <x:v>9</x:v>
      </x:c>
      <x:c r="C83" s="12" t="str">
        <x:v>MCAS simulator and fault-injection platform</x:v>
      </x:c>
      <x:c r="D83" s="12" t="str">
        <x:v>Case Study</x:v>
      </x:c>
      <x:c r="E83" s="12" t="str">
        <x:v>Test corrective-control alternatives</x:v>
      </x:c>
      <x:c r="F83" s="12" t="str">
        <x:v>Compare sensor voting, authority limits, pilot override, monitoring and procedural mitigations under matched faults.</x:v>
      </x:c>
      <x:c r="G83" s="12" t="str">
        <x:v>Corrective-action scenario results</x:v>
      </x:c>
      <x:c r="H83" s="12" t="str">
        <x:v>Not Started</x:v>
      </x:c>
      <x:c r="I83" s="12" t="str">
        <x:v>Medium</x:v>
      </x:c>
      <x:c r="J83" s="12" t="str">
        <x:v>09.08</x:v>
      </x:c>
      <x:c r="K83" s="12" t="str"/>
      <x:c r="L83" s="12" t="str"/>
      <x:c r="M83" s="12" t="str">
        <x:v>Planned / not evidenced</x:v>
      </x:c>
      <x:c r="N83" s="12" t="str"/>
      <x:c r="O83" s="12" t="str"/>
    </x:row>
    <x:row r="84" ht="47" customHeight="1">
      <x:c r="A84" s="12" t="str">
        <x:v>10.01</x:v>
      </x:c>
      <x:c r="B84" s="12" t="n">
        <x:v>10</x:v>
      </x:c>
      <x:c r="C84" s="12" t="str">
        <x:v>MCAS-to-SafetyRAG integration</x:v>
      </x:c>
      <x:c r="D84" s="12" t="str">
        <x:v>Integration</x:v>
      </x:c>
      <x:c r="E84" s="12" t="str">
        <x:v>Define integration artifact mapping</x:v>
      </x:c>
      <x:c r="F84" s="12" t="str">
        <x:v>Map simulator requirements, events, failures, controls and tests to SafetyRAG entities and SEG relationships.</x:v>
      </x:c>
      <x:c r="G84" s="12" t="str">
        <x:v>Integration mapping specification</x:v>
      </x:c>
      <x:c r="H84" s="12" t="str">
        <x:v>In Progress</x:v>
      </x:c>
      <x:c r="I84" s="12" t="str">
        <x:v>Medium</x:v>
      </x:c>
      <x:c r="J84" s="12" t="str">
        <x:v>08.08;09.08</x:v>
      </x:c>
      <x:c r="K84" s="12" t="str"/>
      <x:c r="L84" s="12" t="str"/>
      <x:c r="M84" s="12" t="str">
        <x:v>Prior implementation or draft; verification required</x:v>
      </x:c>
      <x:c r="N84" s="12" t="str"/>
      <x:c r="O84" s="12" t="str"/>
    </x:row>
    <x:row r="85" ht="47" customHeight="1">
      <x:c r="A85" s="12" t="str">
        <x:v>10.02</x:v>
      </x:c>
      <x:c r="B85" s="12" t="n">
        <x:v>10</x:v>
      </x:c>
      <x:c r="C85" s="12" t="str">
        <x:v>MCAS-to-SafetyRAG integration</x:v>
      </x:c>
      <x:c r="D85" s="12" t="str">
        <x:v>Integration</x:v>
      </x:c>
      <x:c r="E85" s="12" t="str">
        <x:v>Implement import schema and integrity checks</x:v>
      </x:c>
      <x:c r="F85" s="12" t="str">
        <x:v>Validate manifests, source hashes, schema versions, visibility and stable identities before accepting data.</x:v>
      </x:c>
      <x:c r="G85" s="12" t="str">
        <x:v>MCAS import contract and validator</x:v>
      </x:c>
      <x:c r="H85" s="12" t="str">
        <x:v>Not Started</x:v>
      </x:c>
      <x:c r="I85" s="12" t="str">
        <x:v>Medium</x:v>
      </x:c>
      <x:c r="J85" s="12" t="str">
        <x:v>10.01</x:v>
      </x:c>
      <x:c r="K85" s="12" t="str"/>
      <x:c r="L85" s="12" t="str"/>
      <x:c r="M85" s="12" t="str">
        <x:v>Planned / not evidenced</x:v>
      </x:c>
      <x:c r="N85" s="12" t="str"/>
      <x:c r="O85" s="12" t="str"/>
    </x:row>
    <x:row r="86" ht="47" customHeight="1">
      <x:c r="A86" s="12" t="str">
        <x:v>10.03</x:v>
      </x:c>
      <x:c r="B86" s="12" t="n">
        <x:v>10</x:v>
      </x:c>
      <x:c r="C86" s="12" t="str">
        <x:v>MCAS-to-SafetyRAG integration</x:v>
      </x:c>
      <x:c r="D86" s="12" t="str">
        <x:v>Integration</x:v>
      </x:c>
      <x:c r="E86" s="12" t="str">
        <x:v>Implement project-scoped import adapter</x:v>
      </x:c>
      <x:c r="F86" s="12" t="str">
        <x:v>Load MCAS packages into Spring Boot project, documents, evidence, requirements and SEG without duplicates.</x:v>
      </x:c>
      <x:c r="G86" s="12" t="str">
        <x:v>Idempotent import API/CLI</x:v>
      </x:c>
      <x:c r="H86" s="12" t="str">
        <x:v>Not Started</x:v>
      </x:c>
      <x:c r="I86" s="12" t="str">
        <x:v>Medium</x:v>
      </x:c>
      <x:c r="J86" s="12" t="str">
        <x:v>10.02;05.10</x:v>
      </x:c>
      <x:c r="K86" s="12" t="str"/>
      <x:c r="L86" s="12" t="str"/>
      <x:c r="M86" s="12" t="str">
        <x:v>Planned / not evidenced</x:v>
      </x:c>
      <x:c r="N86" s="12" t="str"/>
      <x:c r="O86" s="12" t="str"/>
    </x:row>
    <x:row r="87" ht="47" customHeight="1">
      <x:c r="A87" s="12" t="str">
        <x:v>10.04</x:v>
      </x:c>
      <x:c r="B87" s="12" t="n">
        <x:v>10</x:v>
      </x:c>
      <x:c r="C87" s="12" t="str">
        <x:v>MCAS-to-SafetyRAG integration</x:v>
      </x:c>
      <x:c r="D87" s="12" t="str">
        <x:v>Integration</x:v>
      </x:c>
      <x:c r="E87" s="12" t="str">
        <x:v>Preserve simulator provenance and time scope</x:v>
      </x:c>
      <x:c r="F87" s="12" t="str">
        <x:v>Keep scenario IDs, seed, code revision, timestamp, event order, source provenance and historical eligibility.</x:v>
      </x:c>
      <x:c r="G87" s="12" t="str">
        <x:v>Integrated provenance records</x:v>
      </x:c>
      <x:c r="H87" s="12" t="str">
        <x:v>Not Started</x:v>
      </x:c>
      <x:c r="I87" s="12" t="str">
        <x:v>Medium</x:v>
      </x:c>
      <x:c r="J87" s="12" t="str">
        <x:v>10.03;06.03</x:v>
      </x:c>
      <x:c r="K87" s="12" t="str"/>
      <x:c r="L87" s="12" t="str"/>
      <x:c r="M87" s="12" t="str">
        <x:v>Planned / not evidenced</x:v>
      </x:c>
      <x:c r="N87" s="12" t="str"/>
      <x:c r="O87" s="12" t="str"/>
    </x:row>
    <x:row r="88" ht="47" customHeight="1">
      <x:c r="A88" s="12" t="str">
        <x:v>10.05</x:v>
      </x:c>
      <x:c r="B88" s="12" t="n">
        <x:v>10</x:v>
      </x:c>
      <x:c r="C88" s="12" t="str">
        <x:v>MCAS-to-SafetyRAG integration</x:v>
      </x:c>
      <x:c r="D88" s="12" t="str">
        <x:v>Integration</x:v>
      </x:c>
      <x:c r="E88" s="12" t="str">
        <x:v>Build MCAS analysis workflows</x:v>
      </x:c>
      <x:c r="F88" s="12" t="str">
        <x:v>Allow safety engineer to retrieve scenario evidence, run hazard/control analysis, inspect support and submit review.</x:v>
      </x:c>
      <x:c r="G88" s="12" t="str">
        <x:v>Integrated case-study UI and APIs</x:v>
      </x:c>
      <x:c r="H88" s="12" t="str">
        <x:v>Not Started</x:v>
      </x:c>
      <x:c r="I88" s="12" t="str">
        <x:v>Medium</x:v>
      </x:c>
      <x:c r="J88" s="12" t="str">
        <x:v>10.03;07.07</x:v>
      </x:c>
      <x:c r="K88" s="12" t="str"/>
      <x:c r="L88" s="12" t="str"/>
      <x:c r="M88" s="12" t="str">
        <x:v>Planned / not evidenced</x:v>
      </x:c>
      <x:c r="N88" s="12" t="str"/>
      <x:c r="O88" s="12" t="str"/>
    </x:row>
    <x:row r="89" ht="47" customHeight="1">
      <x:c r="A89" s="12" t="str">
        <x:v>10.06</x:v>
      </x:c>
      <x:c r="B89" s="12" t="n">
        <x:v>10</x:v>
      </x:c>
      <x:c r="C89" s="12" t="str">
        <x:v>MCAS-to-SafetyRAG integration</x:v>
      </x:c>
      <x:c r="D89" s="12" t="str">
        <x:v>Integration</x:v>
      </x:c>
      <x:c r="E89" s="12" t="str">
        <x:v>Run end-to-end integration regression</x:v>
      </x:c>
      <x:c r="F89" s="12" t="str">
        <x:v>Test nominal and faulty scenarios from simulation through ingestion, SEG, retrieval, findings and review.</x:v>
      </x:c>
      <x:c r="G89" s="12" t="str">
        <x:v>MCAS integration acceptance report</x:v>
      </x:c>
      <x:c r="H89" s="12" t="str">
        <x:v>Not Started</x:v>
      </x:c>
      <x:c r="I89" s="12" t="str">
        <x:v>Medium</x:v>
      </x:c>
      <x:c r="J89" s="12" t="str">
        <x:v>10.04;10.05</x:v>
      </x:c>
      <x:c r="K89" s="12" t="str"/>
      <x:c r="L89" s="12" t="str"/>
      <x:c r="M89" s="12" t="str">
        <x:v>Planned / not evidenced</x:v>
      </x:c>
      <x:c r="N89" s="12" t="str"/>
      <x:c r="O89" s="12" t="str"/>
    </x:row>
    <x:row r="90" ht="47" customHeight="1">
      <x:c r="A90" s="12" t="str">
        <x:v>10.07</x:v>
      </x:c>
      <x:c r="B90" s="12" t="n">
        <x:v>10</x:v>
      </x:c>
      <x:c r="C90" s="12" t="str">
        <x:v>MCAS-to-SafetyRAG integration</x:v>
      </x:c>
      <x:c r="D90" s="12" t="str">
        <x:v>Integration</x:v>
      </x:c>
      <x:c r="E90" s="12" t="str">
        <x:v>Freeze evaluation-ready integrated release</x:v>
      </x:c>
      <x:c r="F90" s="12" t="str">
        <x:v>Tag all components, export database/index manifests and archive exact corpus used in experiments.</x:v>
      </x:c>
      <x:c r="G90" s="12" t="str">
        <x:v>MCAS/SafetyRAG reproducible release</x:v>
      </x:c>
      <x:c r="H90" s="12" t="str">
        <x:v>Not Started</x:v>
      </x:c>
      <x:c r="I90" s="12" t="str">
        <x:v>Medium</x:v>
      </x:c>
      <x:c r="J90" s="12" t="str">
        <x:v>10.06</x:v>
      </x:c>
      <x:c r="K90" s="12" t="str"/>
      <x:c r="L90" s="12" t="str"/>
      <x:c r="M90" s="12" t="str">
        <x:v>Planned / not evidenced</x:v>
      </x:c>
      <x:c r="N90" s="12" t="str"/>
      <x:c r="O90" s="12" t="str"/>
    </x:row>
    <x:row r="91" ht="47" customHeight="1">
      <x:c r="A91" s="12" t="str">
        <x:v>11.01</x:v>
      </x:c>
      <x:c r="B91" s="12" t="n">
        <x:v>11</x:v>
      </x:c>
      <x:c r="C91" s="12" t="str">
        <x:v>Gold standards and benchmark construction</x:v>
      </x:c>
      <x:c r="D91" s="12" t="str">
        <x:v>Evaluation</x:v>
      </x:c>
      <x:c r="E91" s="12" t="str">
        <x:v>Define benchmark task taxonomy</x:v>
      </x:c>
      <x:c r="F91" s="12" t="str">
        <x:v>Include hazard detection, unsafe requirements, missing controls, evidence retrieval, path tracing, contradictions and temporal cutoff queries.</x:v>
      </x:c>
      <x:c r="G91" s="12" t="str">
        <x:v>Benchmark task specification</x:v>
      </x:c>
      <x:c r="H91" s="12" t="str">
        <x:v>Not Started</x:v>
      </x:c>
      <x:c r="I91" s="12" t="str">
        <x:v>High</x:v>
      </x:c>
      <x:c r="J91" s="12" t="str">
        <x:v>03.02;08.06</x:v>
      </x:c>
      <x:c r="K91" s="12" t="str"/>
      <x:c r="L91" s="12" t="str"/>
      <x:c r="M91" s="12" t="str">
        <x:v>Planned / not evidenced</x:v>
      </x:c>
      <x:c r="N91" s="12" t="str"/>
      <x:c r="O91" s="12" t="str"/>
    </x:row>
    <x:row r="92" ht="47" customHeight="1">
      <x:c r="A92" s="12" t="str">
        <x:v>11.02</x:v>
      </x:c>
      <x:c r="B92" s="12" t="n">
        <x:v>11</x:v>
      </x:c>
      <x:c r="C92" s="12" t="str">
        <x:v>Gold standards and benchmark construction</x:v>
      </x:c>
      <x:c r="D92" s="12" t="str">
        <x:v>Evaluation</x:v>
      </x:c>
      <x:c r="E92" s="12" t="str">
        <x:v>Sample MCAS queries without hindsight leakage</x:v>
      </x:c>
      <x:c r="F92" s="12" t="str">
        <x:v>Generate representative, difficult and negative cases from pre-defined source partitions and risk categories.</x:v>
      </x:c>
      <x:c r="G92" s="12" t="str">
        <x:v>Balanced benchmark question bank</x:v>
      </x:c>
      <x:c r="H92" s="12" t="str">
        <x:v>Not Started</x:v>
      </x:c>
      <x:c r="I92" s="12" t="str">
        <x:v>High</x:v>
      </x:c>
      <x:c r="J92" s="12" t="str">
        <x:v>11.01;08.07</x:v>
      </x:c>
      <x:c r="K92" s="12" t="str"/>
      <x:c r="L92" s="12" t="str"/>
      <x:c r="M92" s="12" t="str">
        <x:v>Planned / not evidenced</x:v>
      </x:c>
      <x:c r="N92" s="12" t="str"/>
      <x:c r="O92" s="12" t="str"/>
    </x:row>
    <x:row r="93" ht="47" customHeight="1">
      <x:c r="A93" s="12" t="str">
        <x:v>11.03</x:v>
      </x:c>
      <x:c r="B93" s="12" t="n">
        <x:v>11</x:v>
      </x:c>
      <x:c r="C93" s="12" t="str">
        <x:v>Gold standards and benchmark construction</x:v>
      </x:c>
      <x:c r="D93" s="12" t="str">
        <x:v>Evaluation</x:v>
      </x:c>
      <x:c r="E93" s="12" t="str">
        <x:v>Construct evidence relevance labels</x:v>
      </x:c>
      <x:c r="F93" s="12" t="str">
        <x:v>Mark exact supporting/refuting spans, required paths and acceptable alternate evidence; define ambiguous cases.</x:v>
      </x:c>
      <x:c r="G93" s="12" t="str">
        <x:v>Gold relevance/path dataset</x:v>
      </x:c>
      <x:c r="H93" s="12" t="str">
        <x:v>Not Started</x:v>
      </x:c>
      <x:c r="I93" s="12" t="str">
        <x:v>High</x:v>
      </x:c>
      <x:c r="J93" s="12" t="str">
        <x:v>11.02</x:v>
      </x:c>
      <x:c r="K93" s="12" t="str"/>
      <x:c r="L93" s="12" t="str"/>
      <x:c r="M93" s="12" t="str">
        <x:v>Planned / not evidenced</x:v>
      </x:c>
      <x:c r="N93" s="12" t="str"/>
      <x:c r="O93" s="12" t="str"/>
    </x:row>
    <x:row r="94" ht="47" customHeight="1">
      <x:c r="A94" s="12" t="str">
        <x:v>11.04</x:v>
      </x:c>
      <x:c r="B94" s="12" t="n">
        <x:v>11</x:v>
      </x:c>
      <x:c r="C94" s="12" t="str">
        <x:v>Gold standards and benchmark construction</x:v>
      </x:c>
      <x:c r="D94" s="12" t="str">
        <x:v>Evaluation</x:v>
      </x:c>
      <x:c r="E94" s="12" t="str">
        <x:v>Construct hazard and claim labels</x:v>
      </x:c>
      <x:c r="F94" s="12" t="str">
        <x:v>Adjudicate true hazards, missing controls, unsupported claims and severity with independent domain experts.</x:v>
      </x:c>
      <x:c r="G94" s="12" t="str">
        <x:v>Gold hazard/claim dataset</x:v>
      </x:c>
      <x:c r="H94" s="12" t="str">
        <x:v>Not Started</x:v>
      </x:c>
      <x:c r="I94" s="12" t="str">
        <x:v>High</x:v>
      </x:c>
      <x:c r="J94" s="12" t="str">
        <x:v>11.02;08.09</x:v>
      </x:c>
      <x:c r="K94" s="12" t="str"/>
      <x:c r="L94" s="12" t="str"/>
      <x:c r="M94" s="12" t="str">
        <x:v>Planned / not evidenced</x:v>
      </x:c>
      <x:c r="N94" s="12" t="str"/>
      <x:c r="O94" s="12" t="str"/>
    </x:row>
    <x:row r="95" ht="47" customHeight="1">
      <x:c r="A95" s="12" t="str">
        <x:v>11.05</x:v>
      </x:c>
      <x:c r="B95" s="12" t="n">
        <x:v>11</x:v>
      </x:c>
      <x:c r="C95" s="12" t="str">
        <x:v>Gold standards and benchmark construction</x:v>
      </x:c>
      <x:c r="D95" s="12" t="str">
        <x:v>Evaluation</x:v>
      </x:c>
      <x:c r="E95" s="12" t="str">
        <x:v>Train annotators and measure agreement</x:v>
      </x:c>
      <x:c r="F95" s="12" t="str">
        <x:v>Provide coding handbook, blinded practice cases, adjudication rules and inter-rater reliability.</x:v>
      </x:c>
      <x:c r="G95" s="12" t="str">
        <x:v>Annotation guide and agreement report</x:v>
      </x:c>
      <x:c r="H95" s="12" t="str">
        <x:v>Not Started</x:v>
      </x:c>
      <x:c r="I95" s="12" t="str">
        <x:v>High</x:v>
      </x:c>
      <x:c r="J95" s="12" t="str">
        <x:v>11.03;11.04</x:v>
      </x:c>
      <x:c r="K95" s="12" t="str"/>
      <x:c r="L95" s="12" t="str"/>
      <x:c r="M95" s="12" t="str">
        <x:v>Planned / not evidenced</x:v>
      </x:c>
      <x:c r="N95" s="12" t="str"/>
      <x:c r="O95" s="12" t="str"/>
    </x:row>
    <x:row r="96" ht="47" customHeight="1">
      <x:c r="A96" s="12" t="str">
        <x:v>11.06</x:v>
      </x:c>
      <x:c r="B96" s="12" t="n">
        <x:v>11</x:v>
      </x:c>
      <x:c r="C96" s="12" t="str">
        <x:v>Gold standards and benchmark construction</x:v>
      </x:c>
      <x:c r="D96" s="12" t="str">
        <x:v>Evaluation</x:v>
      </x:c>
      <x:c r="E96" s="12" t="str">
        <x:v>Separate development and held-out test sets</x:v>
      </x:c>
      <x:c r="F96" s="12" t="str">
        <x:v>Prevent tuning and prompt selection on test data; version all splits and leakage checks.</x:v>
      </x:c>
      <x:c r="G96" s="12" t="str">
        <x:v>Frozen train/dev/test manifests</x:v>
      </x:c>
      <x:c r="H96" s="12" t="str">
        <x:v>Not Started</x:v>
      </x:c>
      <x:c r="I96" s="12" t="str">
        <x:v>High</x:v>
      </x:c>
      <x:c r="J96" s="12" t="str">
        <x:v>11.05</x:v>
      </x:c>
      <x:c r="K96" s="12" t="str"/>
      <x:c r="L96" s="12" t="str"/>
      <x:c r="M96" s="12" t="str">
        <x:v>Planned / not evidenced</x:v>
      </x:c>
      <x:c r="N96" s="12" t="str"/>
      <x:c r="O96" s="12" t="str"/>
    </x:row>
    <x:row r="97" ht="47" customHeight="1">
      <x:c r="A97" s="12" t="str">
        <x:v>11.07</x:v>
      </x:c>
      <x:c r="B97" s="12" t="n">
        <x:v>11</x:v>
      </x:c>
      <x:c r="C97" s="12" t="str">
        <x:v>Gold standards and benchmark construction</x:v>
      </x:c>
      <x:c r="D97" s="12" t="str">
        <x:v>Evaluation</x:v>
      </x:c>
      <x:c r="E97" s="12" t="str">
        <x:v>Build automated scoring and audit scripts</x:v>
      </x:c>
      <x:c r="F97" s="12" t="str">
        <x:v>Implement metric computations, uncertainty estimates, per-query errors and artifact-level provenance checks.</x:v>
      </x:c>
      <x:c r="G97" s="12" t="str">
        <x:v>Benchmark runner and metric tests</x:v>
      </x:c>
      <x:c r="H97" s="12" t="str">
        <x:v>Not Started</x:v>
      </x:c>
      <x:c r="I97" s="12" t="str">
        <x:v>High</x:v>
      </x:c>
      <x:c r="J97" s="12" t="str">
        <x:v>03.03;11.06</x:v>
      </x:c>
      <x:c r="K97" s="12" t="str"/>
      <x:c r="L97" s="12" t="str"/>
      <x:c r="M97" s="12" t="str">
        <x:v>Planned / not evidenced</x:v>
      </x:c>
      <x:c r="N97" s="12" t="str"/>
      <x:c r="O97" s="12" t="str"/>
    </x:row>
    <x:row r="98" ht="47" customHeight="1">
      <x:c r="A98" s="12" t="str">
        <x:v>11.08</x:v>
      </x:c>
      <x:c r="B98" s="12" t="n">
        <x:v>11</x:v>
      </x:c>
      <x:c r="C98" s="12" t="str">
        <x:v>Gold standards and benchmark construction</x:v>
      </x:c>
      <x:c r="D98" s="12" t="str">
        <x:v>Evaluation</x:v>
      </x:c>
      <x:c r="E98" s="12" t="str">
        <x:v>Publish benchmark data access policy</x:v>
      </x:c>
      <x:c r="F98" s="12" t="str">
        <x:v>Determine public, restricted and synthetic portions; supply licenses, ethics constraints and redaction decisions.</x:v>
      </x:c>
      <x:c r="G98" s="12" t="str">
        <x:v>Dataset card and sharing plan</x:v>
      </x:c>
      <x:c r="H98" s="12" t="str">
        <x:v>Not Started</x:v>
      </x:c>
      <x:c r="I98" s="12" t="str">
        <x:v>High</x:v>
      </x:c>
      <x:c r="J98" s="12" t="str">
        <x:v>11.07</x:v>
      </x:c>
      <x:c r="K98" s="12" t="str"/>
      <x:c r="L98" s="12" t="str"/>
      <x:c r="M98" s="12" t="str">
        <x:v>Planned / not evidenced</x:v>
      </x:c>
      <x:c r="N98" s="12" t="str"/>
      <x:c r="O98" s="12" t="str"/>
    </x:row>
    <x:row r="99" ht="47" customHeight="1">
      <x:c r="A99" s="12" t="str">
        <x:v>12.01</x:v>
      </x:c>
      <x:c r="B99" s="12" t="n">
        <x:v>12</x:v>
      </x:c>
      <x:c r="C99" s="12" t="str">
        <x:v>System evaluation and ablation experiments</x:v>
      </x:c>
      <x:c r="D99" s="12" t="str">
        <x:v>Evaluation</x:v>
      </x:c>
      <x:c r="E99" s="12" t="str">
        <x:v>Reproduce LLM-only and conventional RAG baselines</x:v>
      </x:c>
      <x:c r="F99" s="12" t="str">
        <x:v>Establish comparable prompting, retrieval, budgets and runtime; retain all raw outputs.</x:v>
      </x:c>
      <x:c r="G99" s="12" t="str">
        <x:v>Baseline run archive</x:v>
      </x:c>
      <x:c r="H99" s="12" t="str">
        <x:v>Not Started</x:v>
      </x:c>
      <x:c r="I99" s="12" t="str">
        <x:v>High</x:v>
      </x:c>
      <x:c r="J99" s="12" t="str">
        <x:v>11.07;07.09</x:v>
      </x:c>
      <x:c r="K99" s="12" t="str"/>
      <x:c r="L99" s="12" t="str"/>
      <x:c r="M99" s="12" t="str">
        <x:v>Planned / not evidenced</x:v>
      </x:c>
      <x:c r="N99" s="12" t="str"/>
      <x:c r="O99" s="12" t="str"/>
    </x:row>
    <x:row r="100" ht="47" customHeight="1">
      <x:c r="A100" s="12" t="str">
        <x:v>12.02</x:v>
      </x:c>
      <x:c r="B100" s="12" t="n">
        <x:v>12</x:v>
      </x:c>
      <x:c r="C100" s="12" t="str">
        <x:v>System evaluation and ablation experiments</x:v>
      </x:c>
      <x:c r="D100" s="12" t="str">
        <x:v>Evaluation</x:v>
      </x:c>
      <x:c r="E100" s="12" t="str">
        <x:v>Implement REFSafE-inspired strong baseline</x:v>
      </x:c>
      <x:c r="F100" s="12" t="str">
        <x:v>Reproduce work-scope extraction, hybrid search/reranking, incident hazard inference and policy matching as feasible; label as inspired unless faithful.</x:v>
      </x:c>
      <x:c r="G100" s="12" t="str">
        <x:v>REFSafE-inspired baseline specification and code</x:v>
      </x:c>
      <x:c r="H100" s="12" t="str">
        <x:v>Not Started</x:v>
      </x:c>
      <x:c r="I100" s="12" t="str">
        <x:v>High</x:v>
      </x:c>
      <x:c r="J100" s="12" t="str">
        <x:v>02.03;11.07</x:v>
      </x:c>
      <x:c r="K100" s="12" t="str"/>
      <x:c r="L100" s="12" t="str"/>
      <x:c r="M100" s="12" t="str">
        <x:v>Planned / not evidenced</x:v>
      </x:c>
      <x:c r="N100" s="12" t="str"/>
      <x:c r="O100" s="12" t="str"/>
    </x:row>
    <x:row r="101" ht="47" customHeight="1">
      <x:c r="A101" s="12" t="str">
        <x:v>12.03</x:v>
      </x:c>
      <x:c r="B101" s="12" t="n">
        <x:v>12</x:v>
      </x:c>
      <x:c r="C101" s="12" t="str">
        <x:v>System evaluation and ablation experiments</x:v>
      </x:c>
      <x:c r="D101" s="12" t="str">
        <x:v>Evaluation</x:v>
      </x:c>
      <x:c r="E101" s="12" t="str">
        <x:v>Evaluate SEG versus non-graph retrieval</x:v>
      </x:c>
      <x:c r="F101" s="12" t="str">
        <x:v>Compare exact evidence recall, relation-path recall, traceability completeness and latency under matched settings.</x:v>
      </x:c>
      <x:c r="G101" s="12" t="str">
        <x:v>RQ1/RQ2 graph ablation results</x:v>
      </x:c>
      <x:c r="H101" s="12" t="str">
        <x:v>Not Started</x:v>
      </x:c>
      <x:c r="I101" s="12" t="str">
        <x:v>High</x:v>
      </x:c>
      <x:c r="J101" s="12" t="str">
        <x:v>12.01;12.02;07.04</x:v>
      </x:c>
      <x:c r="K101" s="12" t="str"/>
      <x:c r="L101" s="12" t="str"/>
      <x:c r="M101" s="12" t="str">
        <x:v>Planned / not evidenced</x:v>
      </x:c>
      <x:c r="N101" s="12" t="str"/>
      <x:c r="O101" s="12" t="str"/>
    </x:row>
    <x:row r="102" ht="47" customHeight="1">
      <x:c r="A102" s="12" t="str">
        <x:v>12.04</x:v>
      </x:c>
      <x:c r="B102" s="12" t="n">
        <x:v>12</x:v>
      </x:c>
      <x:c r="C102" s="12" t="str">
        <x:v>System evaluation and ablation experiments</x:v>
      </x:c>
      <x:c r="D102" s="12" t="str">
        <x:v>Evaluation</x:v>
      </x:c>
      <x:c r="E102" s="12" t="str">
        <x:v>Evaluate version and time eligibility</x:v>
      </x:c>
      <x:c r="F102" s="12" t="str">
        <x:v>Inject old/new versions and future evidence; test leakage, anchor resolution and incorrect historical answers.</x:v>
      </x:c>
      <x:c r="G102" s="12" t="str">
        <x:v>Temporal/provenance experiment results</x:v>
      </x:c>
      <x:c r="H102" s="12" t="str">
        <x:v>Not Started</x:v>
      </x:c>
      <x:c r="I102" s="12" t="str">
        <x:v>High</x:v>
      </x:c>
      <x:c r="J102" s="12" t="str">
        <x:v>06.07;11.07;12.03</x:v>
      </x:c>
      <x:c r="K102" s="12" t="str"/>
      <x:c r="L102" s="12" t="str"/>
      <x:c r="M102" s="12" t="str">
        <x:v>Planned / not evidenced</x:v>
      </x:c>
      <x:c r="N102" s="12" t="str"/>
      <x:c r="O102" s="12" t="str"/>
    </x:row>
    <x:row r="103" ht="47" customHeight="1">
      <x:c r="A103" s="12" t="str">
        <x:v>12.05</x:v>
      </x:c>
      <x:c r="B103" s="12" t="n">
        <x:v>12</x:v>
      </x:c>
      <x:c r="C103" s="12" t="str">
        <x:v>System evaluation and ablation experiments</x:v>
      </x:c>
      <x:c r="D103" s="12" t="str">
        <x:v>Evaluation</x:v>
      </x:c>
      <x:c r="E103" s="12" t="str">
        <x:v>Evaluate claim verification effects</x:v>
      </x:c>
      <x:c r="F103" s="12" t="str">
        <x:v>Measure supported/refuted/insufficient classification, unsupported output rate, abstention and severity-weighted errors.</x:v>
      </x:c>
      <x:c r="G103" s="12" t="str">
        <x:v>RQ3 verification ablation results</x:v>
      </x:c>
      <x:c r="H103" s="12" t="str">
        <x:v>Not Started</x:v>
      </x:c>
      <x:c r="I103" s="12" t="str">
        <x:v>High</x:v>
      </x:c>
      <x:c r="J103" s="12" t="str">
        <x:v>07.07;11.04;12.03</x:v>
      </x:c>
      <x:c r="K103" s="12" t="str"/>
      <x:c r="L103" s="12" t="str"/>
      <x:c r="M103" s="12" t="str">
        <x:v>Planned / not evidenced</x:v>
      </x:c>
      <x:c r="N103" s="12" t="str"/>
      <x:c r="O103" s="12" t="str"/>
    </x:row>
    <x:row r="104" ht="47" customHeight="1">
      <x:c r="A104" s="12" t="str">
        <x:v>12.06</x:v>
      </x:c>
      <x:c r="B104" s="12" t="n">
        <x:v>12</x:v>
      </x:c>
      <x:c r="C104" s="12" t="str">
        <x:v>System evaluation and ablation experiments</x:v>
      </x:c>
      <x:c r="D104" s="12" t="str">
        <x:v>Evaluation</x:v>
      </x:c>
      <x:c r="E104" s="12" t="str">
        <x:v>Evaluate complete pipeline and tradeoffs</x:v>
      </x:c>
      <x:c r="F104" s="12" t="str">
        <x:v>Compare full SafetyRAG with ablations across quality, runtime, compute cost and failure modes.</x:v>
      </x:c>
      <x:c r="G104" s="12" t="str">
        <x:v>Integrated system comparison</x:v>
      </x:c>
      <x:c r="H104" s="12" t="str">
        <x:v>Not Started</x:v>
      </x:c>
      <x:c r="I104" s="12" t="str">
        <x:v>High</x:v>
      </x:c>
      <x:c r="J104" s="12" t="str">
        <x:v>12.03;12.04;12.05</x:v>
      </x:c>
      <x:c r="K104" s="12" t="str"/>
      <x:c r="L104" s="12" t="str"/>
      <x:c r="M104" s="12" t="str">
        <x:v>Planned / not evidenced</x:v>
      </x:c>
      <x:c r="N104" s="12" t="str"/>
      <x:c r="O104" s="12" t="str"/>
    </x:row>
    <x:row r="105" ht="47" customHeight="1">
      <x:c r="A105" s="12" t="str">
        <x:v>12.07</x:v>
      </x:c>
      <x:c r="B105" s="12" t="n">
        <x:v>12</x:v>
      </x:c>
      <x:c r="C105" s="12" t="str">
        <x:v>System evaluation and ablation experiments</x:v>
      </x:c>
      <x:c r="D105" s="12" t="str">
        <x:v>Evaluation</x:v>
      </x:c>
      <x:c r="E105" s="12" t="str">
        <x:v>Run repeated trials and sensitivity checks</x:v>
      </x:c>
      <x:c r="F105" s="12" t="str">
        <x:v>Vary seeds, model versions, k, thresholds, corpus splits and prompts; estimate uncertainty.</x:v>
      </x:c>
      <x:c r="G105" s="12" t="str">
        <x:v>Robustness and sensitivity appendix</x:v>
      </x:c>
      <x:c r="H105" s="12" t="str">
        <x:v>Not Started</x:v>
      </x:c>
      <x:c r="I105" s="12" t="str">
        <x:v>High</x:v>
      </x:c>
      <x:c r="J105" s="12" t="str">
        <x:v>12.06</x:v>
      </x:c>
      <x:c r="K105" s="12" t="str"/>
      <x:c r="L105" s="12" t="str"/>
      <x:c r="M105" s="12" t="str">
        <x:v>Planned / not evidenced</x:v>
      </x:c>
      <x:c r="N105" s="12" t="str"/>
      <x:c r="O105" s="12" t="str"/>
    </x:row>
    <x:row r="106" ht="47" customHeight="1">
      <x:c r="A106" s="12" t="str">
        <x:v>12.08</x:v>
      </x:c>
      <x:c r="B106" s="12" t="n">
        <x:v>12</x:v>
      </x:c>
      <x:c r="C106" s="12" t="str">
        <x:v>System evaluation and ablation experiments</x:v>
      </x:c>
      <x:c r="D106" s="12" t="str">
        <x:v>Evaluation</x:v>
      </x:c>
      <x:c r="E106" s="12" t="str">
        <x:v>Perform qualitative failure analysis</x:v>
      </x:c>
      <x:c r="F106" s="12" t="str">
        <x:v>Categorize wrong sources, false confidence, missed hazards, graph errors and reviewer burden with concrete examples.</x:v>
      </x:c>
      <x:c r="G106" s="12" t="str">
        <x:v>Error taxonomy and case narratives</x:v>
      </x:c>
      <x:c r="H106" s="12" t="str">
        <x:v>Not Started</x:v>
      </x:c>
      <x:c r="I106" s="12" t="str">
        <x:v>High</x:v>
      </x:c>
      <x:c r="J106" s="12" t="str">
        <x:v>12.07</x:v>
      </x:c>
      <x:c r="K106" s="12" t="str"/>
      <x:c r="L106" s="12" t="str"/>
      <x:c r="M106" s="12" t="str">
        <x:v>Planned / not evidenced</x:v>
      </x:c>
      <x:c r="N106" s="12" t="str"/>
      <x:c r="O106" s="12" t="str"/>
    </x:row>
    <x:row r="107" ht="47" customHeight="1">
      <x:c r="A107" s="12" t="str">
        <x:v>12.09</x:v>
      </x:c>
      <x:c r="B107" s="12" t="n">
        <x:v>12</x:v>
      </x:c>
      <x:c r="C107" s="12" t="str">
        <x:v>System evaluation and ablation experiments</x:v>
      </x:c>
      <x:c r="D107" s="12" t="str">
        <x:v>Evaluation</x:v>
      </x:c>
      <x:c r="E107" s="12" t="str">
        <x:v>Freeze confirmatory outputs and analysis</x:v>
      </x:c>
      <x:c r="F107" s="12" t="str">
        <x:v>Archive raw traces, metric scripts, tables, figures and protocol deviations; independently verify calculations.</x:v>
      </x:c>
      <x:c r="G107" s="12" t="str">
        <x:v>Reproducible evaluation bundle</x:v>
      </x:c>
      <x:c r="H107" s="12" t="str">
        <x:v>Not Started</x:v>
      </x:c>
      <x:c r="I107" s="12" t="str">
        <x:v>High</x:v>
      </x:c>
      <x:c r="J107" s="12" t="str">
        <x:v>12.08</x:v>
      </x:c>
      <x:c r="K107" s="12" t="str"/>
      <x:c r="L107" s="12" t="str"/>
      <x:c r="M107" s="12" t="str">
        <x:v>Planned / not evidenced</x:v>
      </x:c>
      <x:c r="N107" s="12" t="str"/>
      <x:c r="O107" s="12" t="str"/>
    </x:row>
    <x:row r="108" ht="47" customHeight="1">
      <x:c r="A108" s="12" t="str">
        <x:v>13.01</x:v>
      </x:c>
      <x:c r="B108" s="12" t="n">
        <x:v>13</x:v>
      </x:c>
      <x:c r="C108" s="12" t="str">
        <x:v>Secondary case and generalization</x:v>
      </x:c>
      <x:c r="D108" s="12" t="str">
        <x:v>Evaluation</x:v>
      </x:c>
      <x:c r="E108" s="12" t="str">
        <x:v>Select secondary safety-critical case</x:v>
      </x:c>
      <x:c r="F108" s="12" t="str">
        <x:v>Choose domain based on access, artifact diversity, expert availability, ethical constraints and transfer difficulty.</x:v>
      </x:c>
      <x:c r="G108" s="12" t="str">
        <x:v>Secondary case selection memo</x:v>
      </x:c>
      <x:c r="H108" s="12" t="str">
        <x:v>Not Started</x:v>
      </x:c>
      <x:c r="I108" s="12" t="str">
        <x:v>High</x:v>
      </x:c>
      <x:c r="J108" s="12" t="str">
        <x:v>03.01;12.03</x:v>
      </x:c>
      <x:c r="K108" s="12" t="str"/>
      <x:c r="L108" s="12" t="str"/>
      <x:c r="M108" s="12" t="str">
        <x:v>Planned / not evidenced</x:v>
      </x:c>
      <x:c r="N108" s="12" t="str"/>
      <x:c r="O108" s="12" t="str"/>
    </x:row>
    <x:row r="109" ht="47" customHeight="1">
      <x:c r="A109" s="12" t="str">
        <x:v>13.02</x:v>
      </x:c>
      <x:c r="B109" s="12" t="n">
        <x:v>13</x:v>
      </x:c>
      <x:c r="C109" s="12" t="str">
        <x:v>Secondary case and generalization</x:v>
      </x:c>
      <x:c r="D109" s="12" t="str">
        <x:v>Evaluation</x:v>
      </x:c>
      <x:c r="E109" s="12" t="str">
        <x:v>Acquire and verify secondary corpus</x:v>
      </x:c>
      <x:c r="F109" s="12" t="str">
        <x:v>Build source register, versions, legal/ethical access and temporal partitions without reusing MCAS-specific shortcuts.</x:v>
      </x:c>
      <x:c r="G109" s="12" t="str">
        <x:v>Secondary case evidence corpus</x:v>
      </x:c>
      <x:c r="H109" s="12" t="str">
        <x:v>Not Started</x:v>
      </x:c>
      <x:c r="I109" s="12" t="str">
        <x:v>High</x:v>
      </x:c>
      <x:c r="J109" s="12" t="str">
        <x:v>13.01</x:v>
      </x:c>
      <x:c r="K109" s="12" t="str"/>
      <x:c r="L109" s="12" t="str"/>
      <x:c r="M109" s="12" t="str">
        <x:v>Planned / not evidenced</x:v>
      </x:c>
      <x:c r="N109" s="12" t="str"/>
      <x:c r="O109" s="12" t="str"/>
    </x:row>
    <x:row r="110" ht="47" customHeight="1">
      <x:c r="A110" s="12" t="str">
        <x:v>13.03</x:v>
      </x:c>
      <x:c r="B110" s="12" t="n">
        <x:v>13</x:v>
      </x:c>
      <x:c r="C110" s="12" t="str">
        <x:v>Secondary case and generalization</x:v>
      </x:c>
      <x:c r="D110" s="12" t="str">
        <x:v>Evaluation</x:v>
      </x:c>
      <x:c r="E110" s="12" t="str">
        <x:v>Construct secondary-case SEG and labels</x:v>
      </x:c>
      <x:c r="F110" s="12" t="str">
        <x:v>Annotate requirements, hazards, controls, paths, claims and gold references with independent review.</x:v>
      </x:c>
      <x:c r="G110" s="12" t="str">
        <x:v>Secondary gold standard</x:v>
      </x:c>
      <x:c r="H110" s="12" t="str">
        <x:v>Not Started</x:v>
      </x:c>
      <x:c r="I110" s="12" t="str">
        <x:v>High</x:v>
      </x:c>
      <x:c r="J110" s="12" t="str">
        <x:v>13.02;11.05</x:v>
      </x:c>
      <x:c r="K110" s="12" t="str"/>
      <x:c r="L110" s="12" t="str"/>
      <x:c r="M110" s="12" t="str">
        <x:v>Planned / not evidenced</x:v>
      </x:c>
      <x:c r="N110" s="12" t="str"/>
      <x:c r="O110" s="12" t="str"/>
    </x:row>
    <x:row r="111" ht="47" customHeight="1">
      <x:c r="A111" s="12" t="str">
        <x:v>13.04</x:v>
      </x:c>
      <x:c r="B111" s="12" t="n">
        <x:v>13</x:v>
      </x:c>
      <x:c r="C111" s="12" t="str">
        <x:v>Secondary case and generalization</x:v>
      </x:c>
      <x:c r="D111" s="12" t="str">
        <x:v>Evaluation</x:v>
      </x:c>
      <x:c r="E111" s="12" t="str">
        <x:v>Run fixed-protocol transfer evaluation</x:v>
      </x:c>
      <x:c r="F111" s="12" t="str">
        <x:v>Apply frozen SafetyRAG and baselines with minimal retuning; compare error types and effect sizes.</x:v>
      </x:c>
      <x:c r="G111" s="12" t="str">
        <x:v>RQ5 generalization results</x:v>
      </x:c>
      <x:c r="H111" s="12" t="str">
        <x:v>Not Started</x:v>
      </x:c>
      <x:c r="I111" s="12" t="str">
        <x:v>High</x:v>
      </x:c>
      <x:c r="J111" s="12" t="str">
        <x:v>12.09;13.03</x:v>
      </x:c>
      <x:c r="K111" s="12" t="str"/>
      <x:c r="L111" s="12" t="str"/>
      <x:c r="M111" s="12" t="str">
        <x:v>Planned / not evidenced</x:v>
      </x:c>
      <x:c r="N111" s="12" t="str"/>
      <x:c r="O111" s="12" t="str"/>
    </x:row>
    <x:row r="112" ht="47" customHeight="1">
      <x:c r="A112" s="12" t="str">
        <x:v>13.05</x:v>
      </x:c>
      <x:c r="B112" s="12" t="n">
        <x:v>13</x:v>
      </x:c>
      <x:c r="C112" s="12" t="str">
        <x:v>Secondary case and generalization</x:v>
      </x:c>
      <x:c r="D112" s="12" t="str">
        <x:v>Evaluation</x:v>
      </x:c>
      <x:c r="E112" s="12" t="str">
        <x:v>Report boundaries of generalization</x:v>
      </x:c>
      <x:c r="F112" s="12" t="str">
        <x:v>Explain domain differences, transfer failures, data availability and which mechanisms are reusable.</x:v>
      </x:c>
      <x:c r="G112" s="12" t="str">
        <x:v>Cross-case synthesis</x:v>
      </x:c>
      <x:c r="H112" s="12" t="str">
        <x:v>Not Started</x:v>
      </x:c>
      <x:c r="I112" s="12" t="str">
        <x:v>High</x:v>
      </x:c>
      <x:c r="J112" s="12" t="str">
        <x:v>13.04</x:v>
      </x:c>
      <x:c r="K112" s="12" t="str"/>
      <x:c r="L112" s="12" t="str"/>
      <x:c r="M112" s="12" t="str">
        <x:v>Planned / not evidenced</x:v>
      </x:c>
      <x:c r="N112" s="12" t="str"/>
      <x:c r="O112" s="12" t="str"/>
    </x:row>
    <x:row r="113" ht="47" customHeight="1">
      <x:c r="A113" s="12" t="str">
        <x:v>14.01</x:v>
      </x:c>
      <x:c r="B113" s="12" t="n">
        <x:v>14</x:v>
      </x:c>
      <x:c r="C113" s="12" t="str">
        <x:v>Human-subject study preparation</x:v>
      </x:c>
      <x:c r="D113" s="12" t="str">
        <x:v>Human Study</x:v>
      </x:c>
      <x:c r="E113" s="12" t="str">
        <x:v>Specify human-study decision tasks</x:v>
      </x:c>
      <x:c r="F113" s="12" t="str">
        <x:v>Choose realistic artifact review, hazard acceptance, evidence adjudication and conflicting-evidence scenarios.</x:v>
      </x:c>
      <x:c r="G113" s="12" t="str">
        <x:v>Human task scenarios and rubric</x:v>
      </x:c>
      <x:c r="H113" s="12" t="str">
        <x:v>Not Started</x:v>
      </x:c>
      <x:c r="I113" s="12" t="str">
        <x:v>Medium</x:v>
      </x:c>
      <x:c r="J113" s="12" t="str">
        <x:v>11.04;12.06</x:v>
      </x:c>
      <x:c r="K113" s="12" t="str"/>
      <x:c r="L113" s="12" t="str"/>
      <x:c r="M113" s="12" t="str">
        <x:v>Planned / not evidenced</x:v>
      </x:c>
      <x:c r="N113" s="12" t="str"/>
      <x:c r="O113" s="12" t="str"/>
    </x:row>
    <x:row r="114" ht="47" customHeight="1">
      <x:c r="A114" s="12" t="str">
        <x:v>14.02</x:v>
      </x:c>
      <x:c r="B114" s="12" t="n">
        <x:v>14</x:v>
      </x:c>
      <x:c r="C114" s="12" t="str">
        <x:v>Human-subject study preparation</x:v>
      </x:c>
      <x:c r="D114" s="12" t="str">
        <x:v>Human Study</x:v>
      </x:c>
      <x:c r="E114" s="12" t="str">
        <x:v>Define conditions and allocation</x:v>
      </x:c>
      <x:c r="F114" s="12" t="str">
        <x:v>Compare human alone, AI recommendations, evidence/provenance, and verification/uncertainty; control learning/order effects.</x:v>
      </x:c>
      <x:c r="G114" s="12" t="str">
        <x:v>Experimental design and randomization plan</x:v>
      </x:c>
      <x:c r="H114" s="12" t="str">
        <x:v>Not Started</x:v>
      </x:c>
      <x:c r="I114" s="12" t="str">
        <x:v>Medium</x:v>
      </x:c>
      <x:c r="J114" s="12" t="str">
        <x:v>14.01</x:v>
      </x:c>
      <x:c r="K114" s="12" t="str"/>
      <x:c r="L114" s="12" t="str"/>
      <x:c r="M114" s="12" t="str">
        <x:v>Planned / not evidenced</x:v>
      </x:c>
      <x:c r="N114" s="12" t="str"/>
      <x:c r="O114" s="12" t="str"/>
    </x:row>
    <x:row r="115" ht="47" customHeight="1">
      <x:c r="A115" s="12" t="str">
        <x:v>14.03</x:v>
      </x:c>
      <x:c r="B115" s="12" t="n">
        <x:v>14</x:v>
      </x:c>
      <x:c r="C115" s="12" t="str">
        <x:v>Human-subject study preparation</x:v>
      </x:c>
      <x:c r="D115" s="12" t="str">
        <x:v>Human Study</x:v>
      </x:c>
      <x:c r="E115" s="12" t="str">
        <x:v>Plan recruitment and sample size</x:v>
      </x:c>
      <x:c r="F115" s="12" t="str">
        <x:v>Define engineer expertise, eligibility, recruitment channels, power/precision, compensation and inclusion rules.</x:v>
      </x:c>
      <x:c r="G115" s="12" t="str">
        <x:v>Recruitment and sample-size rationale</x:v>
      </x:c>
      <x:c r="H115" s="12" t="str">
        <x:v>Not Started</x:v>
      </x:c>
      <x:c r="I115" s="12" t="str">
        <x:v>Medium</x:v>
      </x:c>
      <x:c r="J115" s="12" t="str">
        <x:v>14.02</x:v>
      </x:c>
      <x:c r="K115" s="12" t="str"/>
      <x:c r="L115" s="12" t="str"/>
      <x:c r="M115" s="12" t="str">
        <x:v>Planned / not evidenced</x:v>
      </x:c>
      <x:c r="N115" s="12" t="str"/>
      <x:c r="O115" s="12" t="str"/>
    </x:row>
    <x:row r="116" ht="47" customHeight="1">
      <x:c r="A116" s="12" t="str">
        <x:v>14.04</x:v>
      </x:c>
      <x:c r="B116" s="12" t="n">
        <x:v>14</x:v>
      </x:c>
      <x:c r="C116" s="12" t="str">
        <x:v>Human-subject study preparation</x:v>
      </x:c>
      <x:c r="D116" s="12" t="str">
        <x:v>Human Study</x:v>
      </x:c>
      <x:c r="E116" s="12" t="str">
        <x:v>Prepare consent, privacy and risk materials</x:v>
      </x:c>
      <x:c r="F116" s="12" t="str">
        <x:v>Document data handling, participant rights, retention, de-identification, security and any model-data exposure.</x:v>
      </x:c>
      <x:c r="G116" s="12" t="str">
        <x:v>Consent forms and data protection plan</x:v>
      </x:c>
      <x:c r="H116" s="12" t="str">
        <x:v>Not Started</x:v>
      </x:c>
      <x:c r="I116" s="12" t="str">
        <x:v>Medium</x:v>
      </x:c>
      <x:c r="J116" s="12" t="str">
        <x:v>14.03</x:v>
      </x:c>
      <x:c r="K116" s="12" t="str"/>
      <x:c r="L116" s="12" t="str"/>
      <x:c r="M116" s="12" t="str">
        <x:v>Planned / not evidenced</x:v>
      </x:c>
      <x:c r="N116" s="12" t="str"/>
      <x:c r="O116" s="12" t="str"/>
    </x:row>
    <x:row r="117" ht="47" customHeight="1">
      <x:c r="A117" s="12" t="str">
        <x:v>14.05</x:v>
      </x:c>
      <x:c r="B117" s="12" t="n">
        <x:v>14</x:v>
      </x:c>
      <x:c r="C117" s="12" t="str">
        <x:v>Human-subject study preparation</x:v>
      </x:c>
      <x:c r="D117" s="12" t="str">
        <x:v>Human Study</x:v>
      </x:c>
      <x:c r="E117" s="12" t="str">
        <x:v>Submit IRB/ethics determination</x:v>
      </x:c>
      <x:c r="F117" s="12" t="str">
        <x:v>Obtain institutional approval or exemption determination before recruiting or collecting participant data.</x:v>
      </x:c>
      <x:c r="G117" s="12" t="str">
        <x:v>IRB approval/exemption record</x:v>
      </x:c>
      <x:c r="H117" s="12" t="str">
        <x:v>Not Started</x:v>
      </x:c>
      <x:c r="I117" s="12" t="str">
        <x:v>Medium</x:v>
      </x:c>
      <x:c r="J117" s="12" t="str">
        <x:v>14.04;01.08</x:v>
      </x:c>
      <x:c r="K117" s="12" t="str"/>
      <x:c r="L117" s="12" t="str"/>
      <x:c r="M117" s="12" t="str">
        <x:v>Planned / not evidenced</x:v>
      </x:c>
      <x:c r="N117" s="12" t="str"/>
      <x:c r="O117" s="12" t="str"/>
    </x:row>
    <x:row r="118" ht="47" customHeight="1">
      <x:c r="A118" s="12" t="str">
        <x:v>14.06</x:v>
      </x:c>
      <x:c r="B118" s="12" t="n">
        <x:v>14</x:v>
      </x:c>
      <x:c r="C118" s="12" t="str">
        <x:v>Human-subject study preparation</x:v>
      </x:c>
      <x:c r="D118" s="12" t="str">
        <x:v>Human Study</x:v>
      </x:c>
      <x:c r="E118" s="12" t="str">
        <x:v>Build instrumented study interface</x:v>
      </x:c>
      <x:c r="F118" s="12" t="str">
        <x:v>Log task outcomes, evidence views, model advice, acceptance changes, timestamps and NASA-TLX/trust measures.</x:v>
      </x:c>
      <x:c r="G118" s="12" t="str">
        <x:v>Human-study UI and logging package</x:v>
      </x:c>
      <x:c r="H118" s="12" t="str">
        <x:v>Not Started</x:v>
      </x:c>
      <x:c r="I118" s="12" t="str">
        <x:v>Medium</x:v>
      </x:c>
      <x:c r="J118" s="12" t="str">
        <x:v>14.02;10.06</x:v>
      </x:c>
      <x:c r="K118" s="12" t="str"/>
      <x:c r="L118" s="12" t="str"/>
      <x:c r="M118" s="12" t="str">
        <x:v>Planned / not evidenced</x:v>
      </x:c>
      <x:c r="N118" s="12" t="str"/>
      <x:c r="O118" s="12" t="str"/>
    </x:row>
    <x:row r="119" ht="47" customHeight="1">
      <x:c r="A119" s="12" t="str">
        <x:v>14.07</x:v>
      </x:c>
      <x:c r="B119" s="12" t="n">
        <x:v>14</x:v>
      </x:c>
      <x:c r="C119" s="12" t="str">
        <x:v>Human-subject study preparation</x:v>
      </x:c>
      <x:c r="D119" s="12" t="str">
        <x:v>Human Study</x:v>
      </x:c>
      <x:c r="E119" s="12" t="str">
        <x:v>Pilot usability and task difficulty</x:v>
      </x:c>
      <x:c r="F119" s="12" t="str">
        <x:v>Conduct approved pilots, identify ambiguous tasks, excessive duration and interface confounds; amend protocol if needed.</x:v>
      </x:c>
      <x:c r="G119" s="12" t="str">
        <x:v>Pilot study report and revisions</x:v>
      </x:c>
      <x:c r="H119" s="12" t="str">
        <x:v>Not Started</x:v>
      </x:c>
      <x:c r="I119" s="12" t="str">
        <x:v>Medium</x:v>
      </x:c>
      <x:c r="J119" s="12" t="str">
        <x:v>14.05;14.06</x:v>
      </x:c>
      <x:c r="K119" s="12" t="str"/>
      <x:c r="L119" s="12" t="str"/>
      <x:c r="M119" s="12" t="str">
        <x:v>Planned / not evidenced</x:v>
      </x:c>
      <x:c r="N119" s="12" t="str"/>
      <x:c r="O119" s="12" t="str"/>
    </x:row>
    <x:row r="120" ht="47" customHeight="1">
      <x:c r="A120" s="12" t="str">
        <x:v>14.08</x:v>
      </x:c>
      <x:c r="B120" s="12" t="n">
        <x:v>14</x:v>
      </x:c>
      <x:c r="C120" s="12" t="str">
        <x:v>Human-subject study preparation</x:v>
      </x:c>
      <x:c r="D120" s="12" t="str">
        <x:v>Human Study</x:v>
      </x:c>
      <x:c r="E120" s="12" t="str">
        <x:v>Freeze human-study protocol and training</x:v>
      </x:c>
      <x:c r="F120" s="12" t="str">
        <x:v>Standardize instructions, practice tasks, counterbalancing and experimenter scripts.</x:v>
      </x:c>
      <x:c r="G120" s="12" t="str">
        <x:v>Locked study protocol and materials</x:v>
      </x:c>
      <x:c r="H120" s="12" t="str">
        <x:v>Not Started</x:v>
      </x:c>
      <x:c r="I120" s="12" t="str">
        <x:v>Medium</x:v>
      </x:c>
      <x:c r="J120" s="12" t="str">
        <x:v>14.07</x:v>
      </x:c>
      <x:c r="K120" s="12" t="str"/>
      <x:c r="L120" s="12" t="str"/>
      <x:c r="M120" s="12" t="str">
        <x:v>Planned / not evidenced</x:v>
      </x:c>
      <x:c r="N120" s="12" t="str"/>
      <x:c r="O120" s="12" t="str"/>
    </x:row>
    <x:row r="121" ht="47" customHeight="1">
      <x:c r="A121" s="12" t="str">
        <x:v>15.01</x:v>
      </x:c>
      <x:c r="B121" s="12" t="n">
        <x:v>15</x:v>
      </x:c>
      <x:c r="C121" s="12" t="str">
        <x:v>Human-subject execution and analysis</x:v>
      </x:c>
      <x:c r="D121" s="12" t="str">
        <x:v>Human Study</x:v>
      </x:c>
      <x:c r="E121" s="12" t="str">
        <x:v>Recruit and screen participants</x:v>
      </x:c>
      <x:c r="F121" s="12" t="str">
        <x:v>Enroll eligible safety engineers or justified proxies after ethics authorization; track exclusions.</x:v>
      </x:c>
      <x:c r="G121" s="12" t="str">
        <x:v>De-identified participant roster</x:v>
      </x:c>
      <x:c r="H121" s="12" t="str">
        <x:v>Not Started</x:v>
      </x:c>
      <x:c r="I121" s="12" t="str">
        <x:v>Medium</x:v>
      </x:c>
      <x:c r="J121" s="12" t="str">
        <x:v>14.08</x:v>
      </x:c>
      <x:c r="K121" s="12" t="str"/>
      <x:c r="L121" s="12" t="str"/>
      <x:c r="M121" s="12" t="str">
        <x:v>Planned / not evidenced</x:v>
      </x:c>
      <x:c r="N121" s="12" t="str"/>
      <x:c r="O121" s="12" t="str"/>
    </x:row>
    <x:row r="122" ht="47" customHeight="1">
      <x:c r="A122" s="12" t="str">
        <x:v>15.02</x:v>
      </x:c>
      <x:c r="B122" s="12" t="n">
        <x:v>15</x:v>
      </x:c>
      <x:c r="C122" s="12" t="str">
        <x:v>Human-subject execution and analysis</x:v>
      </x:c>
      <x:c r="D122" s="12" t="str">
        <x:v>Human Study</x:v>
      </x:c>
      <x:c r="E122" s="12" t="str">
        <x:v>Run controlled study sessions</x:v>
      </x:c>
      <x:c r="F122" s="12" t="str">
        <x:v>Execute randomized conditions, monitor protocol adherence, preserve raw logs and document deviations.</x:v>
      </x:c>
      <x:c r="G122" s="12" t="str">
        <x:v>Human experiment session archive</x:v>
      </x:c>
      <x:c r="H122" s="12" t="str">
        <x:v>Not Started</x:v>
      </x:c>
      <x:c r="I122" s="12" t="str">
        <x:v>Medium</x:v>
      </x:c>
      <x:c r="J122" s="12" t="str">
        <x:v>15.01</x:v>
      </x:c>
      <x:c r="K122" s="12" t="str"/>
      <x:c r="L122" s="12" t="str"/>
      <x:c r="M122" s="12" t="str">
        <x:v>Planned / not evidenced</x:v>
      </x:c>
      <x:c r="N122" s="12" t="str"/>
      <x:c r="O122" s="12" t="str"/>
    </x:row>
    <x:row r="123" ht="47" customHeight="1">
      <x:c r="A123" s="12" t="str">
        <x:v>15.03</x:v>
      </x:c>
      <x:c r="B123" s="12" t="n">
        <x:v>15</x:v>
      </x:c>
      <x:c r="C123" s="12" t="str">
        <x:v>Human-subject execution and analysis</x:v>
      </x:c>
      <x:c r="D123" s="12" t="str">
        <x:v>Human Study</x:v>
      </x:c>
      <x:c r="E123" s="12" t="str">
        <x:v>Score safety decisions independently</x:v>
      </x:c>
      <x:c r="F123" s="12" t="str">
        <x:v>Blindly adjudicate correctness, false negatives, inappropriate acceptance, missed contradictions and time.</x:v>
      </x:c>
      <x:c r="G123" s="12" t="str">
        <x:v>Human decision outcome dataset</x:v>
      </x:c>
      <x:c r="H123" s="12" t="str">
        <x:v>Not Started</x:v>
      </x:c>
      <x:c r="I123" s="12" t="str">
        <x:v>Medium</x:v>
      </x:c>
      <x:c r="J123" s="12" t="str">
        <x:v>15.02</x:v>
      </x:c>
      <x:c r="K123" s="12" t="str"/>
      <x:c r="L123" s="12" t="str"/>
      <x:c r="M123" s="12" t="str">
        <x:v>Planned / not evidenced</x:v>
      </x:c>
      <x:c r="N123" s="12" t="str"/>
      <x:c r="O123" s="12" t="str"/>
    </x:row>
    <x:row r="124" ht="47" customHeight="1">
      <x:c r="A124" s="12" t="str">
        <x:v>15.04</x:v>
      </x:c>
      <x:c r="B124" s="12" t="n">
        <x:v>15</x:v>
      </x:c>
      <x:c r="C124" s="12" t="str">
        <x:v>Human-subject execution and analysis</x:v>
      </x:c>
      <x:c r="D124" s="12" t="str">
        <x:v>Human Study</x:v>
      </x:c>
      <x:c r="E124" s="12" t="str">
        <x:v>Measure workload, trust and reliance</x:v>
      </x:c>
      <x:c r="F124" s="12" t="str">
        <x:v>Compute NASA-TLX, trust calibration, acceptance/rejection patterns and over-/under-reliance.</x:v>
      </x:c>
      <x:c r="G124" s="12" t="str">
        <x:v>Human factors metrics dataset</x:v>
      </x:c>
      <x:c r="H124" s="12" t="str">
        <x:v>Not Started</x:v>
      </x:c>
      <x:c r="I124" s="12" t="str">
        <x:v>Medium</x:v>
      </x:c>
      <x:c r="J124" s="12" t="str">
        <x:v>15.02</x:v>
      </x:c>
      <x:c r="K124" s="12" t="str"/>
      <x:c r="L124" s="12" t="str"/>
      <x:c r="M124" s="12" t="str">
        <x:v>Planned / not evidenced</x:v>
      </x:c>
      <x:c r="N124" s="12" t="str"/>
      <x:c r="O124" s="12" t="str"/>
    </x:row>
    <x:row r="125" ht="47" customHeight="1">
      <x:c r="A125" s="12" t="str">
        <x:v>15.05</x:v>
      </x:c>
      <x:c r="B125" s="12" t="n">
        <x:v>15</x:v>
      </x:c>
      <x:c r="C125" s="12" t="str">
        <x:v>Human-subject execution and analysis</x:v>
      </x:c>
      <x:c r="D125" s="12" t="str">
        <x:v>Human Study</x:v>
      </x:c>
      <x:c r="E125" s="12" t="str">
        <x:v>Analyze RQ4 and subgroup sensitivity</x:v>
      </x:c>
      <x:c r="F125" s="12" t="str">
        <x:v>Apply predeclared paired/mixed analyses, intervals and sensitivity to expertise/order effects.</x:v>
      </x:c>
      <x:c r="G125" s="12" t="str">
        <x:v>Human-study statistical results</x:v>
      </x:c>
      <x:c r="H125" s="12" t="str">
        <x:v>Not Started</x:v>
      </x:c>
      <x:c r="I125" s="12" t="str">
        <x:v>Medium</x:v>
      </x:c>
      <x:c r="J125" s="12" t="str">
        <x:v>15.03;15.04</x:v>
      </x:c>
      <x:c r="K125" s="12" t="str"/>
      <x:c r="L125" s="12" t="str"/>
      <x:c r="M125" s="12" t="str">
        <x:v>Planned / not evidenced</x:v>
      </x:c>
      <x:c r="N125" s="12" t="str"/>
      <x:c r="O125" s="12" t="str"/>
    </x:row>
    <x:row r="126" ht="47" customHeight="1">
      <x:c r="A126" s="12" t="str">
        <x:v>15.06</x:v>
      </x:c>
      <x:c r="B126" s="12" t="n">
        <x:v>15</x:v>
      </x:c>
      <x:c r="C126" s="12" t="str">
        <x:v>Human-subject execution and analysis</x:v>
      </x:c>
      <x:c r="D126" s="12" t="str">
        <x:v>Human Study</x:v>
      </x:c>
      <x:c r="E126" s="12" t="str">
        <x:v>Document ethical and external validity limits</x:v>
      </x:c>
      <x:c r="F126" s="12" t="str">
        <x:v>Explain participant representativeness, task realism, learning effects, interface bias and risks of automation.</x:v>
      </x:c>
      <x:c r="G126" s="12" t="str">
        <x:v>Human-study limitations and audit</x:v>
      </x:c>
      <x:c r="H126" s="12" t="str">
        <x:v>Not Started</x:v>
      </x:c>
      <x:c r="I126" s="12" t="str">
        <x:v>Medium</x:v>
      </x:c>
      <x:c r="J126" s="12" t="str">
        <x:v>15.05</x:v>
      </x:c>
      <x:c r="K126" s="12" t="str"/>
      <x:c r="L126" s="12" t="str"/>
      <x:c r="M126" s="12" t="str">
        <x:v>Planned / not evidenced</x:v>
      </x:c>
      <x:c r="N126" s="12" t="str"/>
      <x:c r="O126" s="12" t="str"/>
    </x:row>
    <x:row r="127" ht="47" customHeight="1">
      <x:c r="A127" s="12" t="str">
        <x:v>16.01</x:v>
      </x:c>
      <x:c r="B127" s="12" t="n">
        <x:v>16</x:v>
      </x:c>
      <x:c r="C127" s="12" t="str">
        <x:v>Architecture and design paper (EMSE)</x:v>
      </x:c>
      <x:c r="D127" s="12" t="str">
        <x:v>Publication</x:v>
      </x:c>
      <x:c r="E127" s="12" t="str">
        <x:v>Freeze paper contribution and claims</x:v>
      </x:c>
      <x:c r="F127" s="12" t="str">
        <x:v>Position SafetyRAG relative to REFSafE and graph/safety RAG; distinguish implemented, specified and experimentally tested features.</x:v>
      </x:c>
      <x:c r="G127" s="12" t="str">
        <x:v>EMSE claim/evidence outline</x:v>
      </x:c>
      <x:c r="H127" s="12" t="str">
        <x:v>In Progress</x:v>
      </x:c>
      <x:c r="I127" s="12" t="str">
        <x:v>Medium</x:v>
      </x:c>
      <x:c r="J127" s="12" t="str">
        <x:v>02.08;06.08</x:v>
      </x:c>
      <x:c r="K127" s="12" t="str"/>
      <x:c r="L127" s="12" t="str"/>
      <x:c r="M127" s="12" t="str">
        <x:v>Prior implementation or draft; verification required</x:v>
      </x:c>
      <x:c r="N127" s="12" t="str"/>
      <x:c r="O127" s="12" t="str"/>
    </x:row>
    <x:row r="128" ht="47" customHeight="1">
      <x:c r="A128" s="12" t="str">
        <x:v>16.02</x:v>
      </x:c>
      <x:c r="B128" s="12" t="n">
        <x:v>16</x:v>
      </x:c>
      <x:c r="C128" s="12" t="str">
        <x:v>Architecture and design paper (EMSE)</x:v>
      </x:c>
      <x:c r="D128" s="12" t="str">
        <x:v>Publication</x:v>
      </x:c>
      <x:c r="E128" s="12" t="str">
        <x:v>Finalize research questions and paper scope</x:v>
      </x:c>
      <x:c r="F128" s="12" t="str">
        <x:v>Choose architecture and system-level empirical questions; avoid promising a completed human study if not conducted.</x:v>
      </x:c>
      <x:c r="G128" s="12" t="str">
        <x:v>Paper protocol and section outline</x:v>
      </x:c>
      <x:c r="H128" s="12" t="str">
        <x:v>In Progress</x:v>
      </x:c>
      <x:c r="I128" s="12" t="str">
        <x:v>Medium</x:v>
      </x:c>
      <x:c r="J128" s="12" t="str">
        <x:v>03.01;16.01</x:v>
      </x:c>
      <x:c r="K128" s="12" t="str"/>
      <x:c r="L128" s="12" t="str"/>
      <x:c r="M128" s="12" t="str">
        <x:v>Prior implementation or draft; verification required</x:v>
      </x:c>
      <x:c r="N128" s="12" t="str"/>
      <x:c r="O128" s="12" t="str"/>
    </x:row>
    <x:row r="129" ht="47" customHeight="1">
      <x:c r="A129" s="12" t="str">
        <x:v>16.03</x:v>
      </x:c>
      <x:c r="B129" s="12" t="n">
        <x:v>16</x:v>
      </x:c>
      <x:c r="C129" s="12" t="str">
        <x:v>Architecture and design paper (EMSE)</x:v>
      </x:c>
      <x:c r="D129" s="12" t="str">
        <x:v>Publication</x:v>
      </x:c>
      <x:c r="E129" s="12" t="str">
        <x:v>Prepare architecture diagrams and formal model</x:v>
      </x:c>
      <x:c r="F129" s="12" t="str">
        <x:v>Produce SEG schema, retrieval/verification flow, version/admissibility contracts and review lifecycle diagrams.</x:v>
      </x:c>
      <x:c r="G129" s="12" t="str">
        <x:v>Publication-quality figures and formal definitions</x:v>
      </x:c>
      <x:c r="H129" s="12" t="str">
        <x:v>In Progress</x:v>
      </x:c>
      <x:c r="I129" s="12" t="str">
        <x:v>Medium</x:v>
      </x:c>
      <x:c r="J129" s="12" t="str">
        <x:v>06.08;16.02</x:v>
      </x:c>
      <x:c r="K129" s="12" t="str"/>
      <x:c r="L129" s="12" t="str"/>
      <x:c r="M129" s="12" t="str">
        <x:v>Prior implementation or draft; verification required</x:v>
      </x:c>
      <x:c r="N129" s="12" t="str"/>
      <x:c r="O129" s="12" t="str"/>
    </x:row>
    <x:row r="130" ht="47" customHeight="1">
      <x:c r="A130" s="12" t="str">
        <x:v>16.04</x:v>
      </x:c>
      <x:c r="B130" s="12" t="n">
        <x:v>16</x:v>
      </x:c>
      <x:c r="C130" s="12" t="str">
        <x:v>Architecture and design paper (EMSE)</x:v>
      </x:c>
      <x:c r="D130" s="12" t="str">
        <x:v>Publication</x:v>
      </x:c>
      <x:c r="E130" s="12" t="str">
        <x:v>Implement and validate publishable system slice</x:v>
      </x:c>
      <x:c r="F130" s="12" t="str">
        <x:v>Ensure essential mechanisms work end to end, conformance tests pass and exact code version is archived.</x:v>
      </x:c>
      <x:c r="G130" s="12" t="str">
        <x:v>Paper artifact release and tests</x:v>
      </x:c>
      <x:c r="H130" s="12" t="str">
        <x:v>Not Started</x:v>
      </x:c>
      <x:c r="I130" s="12" t="str">
        <x:v>Medium</x:v>
      </x:c>
      <x:c r="J130" s="12" t="str">
        <x:v>10.07;07.08</x:v>
      </x:c>
      <x:c r="K130" s="12" t="str"/>
      <x:c r="L130" s="12" t="str"/>
      <x:c r="M130" s="12" t="str">
        <x:v>Planned / not evidenced</x:v>
      </x:c>
      <x:c r="N130" s="12" t="str"/>
      <x:c r="O130" s="12" t="str"/>
    </x:row>
    <x:row r="131" ht="47" customHeight="1">
      <x:c r="A131" s="12" t="str">
        <x:v>16.05</x:v>
      </x:c>
      <x:c r="B131" s="12" t="n">
        <x:v>16</x:v>
      </x:c>
      <x:c r="C131" s="12" t="str">
        <x:v>Architecture and design paper (EMSE)</x:v>
      </x:c>
      <x:c r="D131" s="12" t="str">
        <x:v>Publication</x:v>
      </x:c>
      <x:c r="E131" s="12" t="str">
        <x:v>Execute controlled retrieval/verification studies</x:v>
      </x:c>
      <x:c r="F131" s="12" t="str">
        <x:v>Collect baseline, ablation, MCAS evidence and statistical results for manuscript claims.</x:v>
      </x:c>
      <x:c r="G131" s="12" t="str">
        <x:v>Experimental result tables and figures</x:v>
      </x:c>
      <x:c r="H131" s="12" t="str">
        <x:v>Not Started</x:v>
      </x:c>
      <x:c r="I131" s="12" t="str">
        <x:v>Medium</x:v>
      </x:c>
      <x:c r="J131" s="12" t="str">
        <x:v>12.09;16.04</x:v>
      </x:c>
      <x:c r="K131" s="12" t="str"/>
      <x:c r="L131" s="12" t="str"/>
      <x:c r="M131" s="12" t="str">
        <x:v>Planned / not evidenced</x:v>
      </x:c>
      <x:c r="N131" s="12" t="str"/>
      <x:c r="O131" s="12" t="str"/>
    </x:row>
    <x:row r="132" ht="47" customHeight="1">
      <x:c r="A132" s="12" t="str">
        <x:v>16.06</x:v>
      </x:c>
      <x:c r="B132" s="12" t="n">
        <x:v>16</x:v>
      </x:c>
      <x:c r="C132" s="12" t="str">
        <x:v>Architecture and design paper (EMSE)</x:v>
      </x:c>
      <x:c r="D132" s="12" t="str">
        <x:v>Publication</x:v>
      </x:c>
      <x:c r="E132" s="12" t="str">
        <x:v>Write full introduction and related work</x:v>
      </x:c>
      <x:c r="F132" s="12" t="str">
        <x:v>Explain problem, research gap, prior-art comparison, hypotheses and bounded novelty with checked citations.</x:v>
      </x:c>
      <x:c r="G132" s="12" t="str">
        <x:v>Introduction and related-work draft</x:v>
      </x:c>
      <x:c r="H132" s="12" t="str">
        <x:v>In Progress</x:v>
      </x:c>
      <x:c r="I132" s="12" t="str">
        <x:v>Medium</x:v>
      </x:c>
      <x:c r="J132" s="12" t="str">
        <x:v>02.10;16.01</x:v>
      </x:c>
      <x:c r="K132" s="12" t="str"/>
      <x:c r="L132" s="12" t="str"/>
      <x:c r="M132" s="12" t="str">
        <x:v>Prior implementation or draft; verification required</x:v>
      </x:c>
      <x:c r="N132" s="12" t="str"/>
      <x:c r="O132" s="12" t="str"/>
    </x:row>
    <x:row r="133" ht="47" customHeight="1">
      <x:c r="A133" s="12" t="str">
        <x:v>16.07</x:v>
      </x:c>
      <x:c r="B133" s="12" t="n">
        <x:v>16</x:v>
      </x:c>
      <x:c r="C133" s="12" t="str">
        <x:v>Architecture and design paper (EMSE)</x:v>
      </x:c>
      <x:c r="D133" s="12" t="str">
        <x:v>Publication</x:v>
      </x:c>
      <x:c r="E133" s="12" t="str">
        <x:v>Write methods, implementation and threats</x:v>
      </x:c>
      <x:c r="F133" s="12" t="str">
        <x:v>Provide datasets, model settings, algorithms, metrics, controls, limitations and reproducibility details.</x:v>
      </x:c>
      <x:c r="G133" s="12" t="str">
        <x:v>Methods and validity sections</x:v>
      </x:c>
      <x:c r="H133" s="12" t="str">
        <x:v>Not Started</x:v>
      </x:c>
      <x:c r="I133" s="12" t="str">
        <x:v>Medium</x:v>
      </x:c>
      <x:c r="J133" s="12" t="str">
        <x:v>16.03;16.05</x:v>
      </x:c>
      <x:c r="K133" s="12" t="str"/>
      <x:c r="L133" s="12" t="str"/>
      <x:c r="M133" s="12" t="str">
        <x:v>Planned / not evidenced</x:v>
      </x:c>
      <x:c r="N133" s="12" t="str"/>
      <x:c r="O133" s="12" t="str"/>
    </x:row>
    <x:row r="134" ht="47" customHeight="1">
      <x:c r="A134" s="12" t="str">
        <x:v>16.08</x:v>
      </x:c>
      <x:c r="B134" s="12" t="n">
        <x:v>16</x:v>
      </x:c>
      <x:c r="C134" s="12" t="str">
        <x:v>Architecture and design paper (EMSE)</x:v>
      </x:c>
      <x:c r="D134" s="12" t="str">
        <x:v>Publication</x:v>
      </x:c>
      <x:c r="E134" s="12" t="str">
        <x:v>Write results, discussion and conclusions</x:v>
      </x:c>
      <x:c r="F134" s="12" t="str">
        <x:v>Report effect sizes and uncertainty, null results, failures, practical implications and unsupported assumptions.</x:v>
      </x:c>
      <x:c r="G134" s="12" t="str">
        <x:v>Complete results-driven manuscript</x:v>
      </x:c>
      <x:c r="H134" s="12" t="str">
        <x:v>Not Started</x:v>
      </x:c>
      <x:c r="I134" s="12" t="str">
        <x:v>Medium</x:v>
      </x:c>
      <x:c r="J134" s="12" t="str">
        <x:v>16.05;16.07</x:v>
      </x:c>
      <x:c r="K134" s="12" t="str"/>
      <x:c r="L134" s="12" t="str"/>
      <x:c r="M134" s="12" t="str">
        <x:v>Planned / not evidenced</x:v>
      </x:c>
      <x:c r="N134" s="12" t="str"/>
      <x:c r="O134" s="12" t="str"/>
    </x:row>
    <x:row r="135" ht="47" customHeight="1">
      <x:c r="A135" s="12" t="str">
        <x:v>16.09</x:v>
      </x:c>
      <x:c r="B135" s="12" t="n">
        <x:v>16</x:v>
      </x:c>
      <x:c r="C135" s="12" t="str">
        <x:v>Architecture and design paper (EMSE)</x:v>
      </x:c>
      <x:c r="D135" s="12" t="str">
        <x:v>Publication</x:v>
      </x:c>
      <x:c r="E135" s="12" t="str">
        <x:v>Run internal critical review and revise</x:v>
      </x:c>
      <x:c r="F135" s="12" t="str">
        <x:v>Get adviser/coauthor and independent reviewer critique; verify all tables, references, novelty and journal requirements.</x:v>
      </x:c>
      <x:c r="G135" s="12" t="str">
        <x:v>Submission-ready revised manuscript</x:v>
      </x:c>
      <x:c r="H135" s="12" t="str">
        <x:v>Not Started</x:v>
      </x:c>
      <x:c r="I135" s="12" t="str">
        <x:v>Medium</x:v>
      </x:c>
      <x:c r="J135" s="12" t="str">
        <x:v>16.08</x:v>
      </x:c>
      <x:c r="K135" s="12" t="str"/>
      <x:c r="L135" s="12" t="str"/>
      <x:c r="M135" s="12" t="str">
        <x:v>Planned / not evidenced</x:v>
      </x:c>
      <x:c r="N135" s="12" t="str"/>
      <x:c r="O135" s="12" t="str"/>
    </x:row>
    <x:row r="136" ht="47" customHeight="1">
      <x:c r="A136" s="12" t="str">
        <x:v>16.10</x:v>
      </x:c>
      <x:c r="B136" s="12" t="n">
        <x:v>16</x:v>
      </x:c>
      <x:c r="C136" s="12" t="str">
        <x:v>Architecture and design paper (EMSE)</x:v>
      </x:c>
      <x:c r="D136" s="12" t="str">
        <x:v>Publication</x:v>
      </x:c>
      <x:c r="E136" s="12" t="str">
        <x:v>Prepare EMSE submission package</x:v>
      </x:c>
      <x:c r="F136" s="12" t="str">
        <x:v>Follow current author guide, format manuscript, anonymize if required, complete ethics/data statements, cover letter and supplementary materials.</x:v>
      </x:c>
      <x:c r="G136" s="12" t="str">
        <x:v>Manuscript, cover letter, data/code package</x:v>
      </x:c>
      <x:c r="H136" s="12" t="str">
        <x:v>Not Started</x:v>
      </x:c>
      <x:c r="I136" s="12" t="str">
        <x:v>Medium</x:v>
      </x:c>
      <x:c r="J136" s="12" t="str">
        <x:v>16.09</x:v>
      </x:c>
      <x:c r="K136" s="12" t="str"/>
      <x:c r="L136" s="12" t="str"/>
      <x:c r="M136" s="12" t="str">
        <x:v>Planned / not evidenced</x:v>
      </x:c>
      <x:c r="N136" s="12" t="str"/>
      <x:c r="O136" s="12" t="str"/>
    </x:row>
    <x:row r="137" ht="47" customHeight="1">
      <x:c r="A137" s="12" t="str">
        <x:v>16.11</x:v>
      </x:c>
      <x:c r="B137" s="12" t="n">
        <x:v>16</x:v>
      </x:c>
      <x:c r="C137" s="12" t="str">
        <x:v>Architecture and design paper (EMSE)</x:v>
      </x:c>
      <x:c r="D137" s="12" t="str">
        <x:v>Publication</x:v>
      </x:c>
      <x:c r="E137" s="12" t="str">
        <x:v>Submit paper and preserve submission record</x:v>
      </x:c>
      <x:c r="F137" s="12" t="str">
        <x:v>Upload to journal, validate generated PDF and archive submission ID and exact submitted files.</x:v>
      </x:c>
      <x:c r="G137" s="12" t="str">
        <x:v>EMSE submission receipt</x:v>
      </x:c>
      <x:c r="H137" s="12" t="str">
        <x:v>Not Started</x:v>
      </x:c>
      <x:c r="I137" s="12" t="str">
        <x:v>Medium</x:v>
      </x:c>
      <x:c r="J137" s="12" t="str">
        <x:v>16.10</x:v>
      </x:c>
      <x:c r="K137" s="12" t="str"/>
      <x:c r="L137" s="12" t="str"/>
      <x:c r="M137" s="12" t="str">
        <x:v>Planned / not evidenced</x:v>
      </x:c>
      <x:c r="N137" s="12" t="str"/>
      <x:c r="O137" s="12" t="str"/>
    </x:row>
    <x:row r="138" ht="47" customHeight="1">
      <x:c r="A138" s="12" t="str">
        <x:v>16.12</x:v>
      </x:c>
      <x:c r="B138" s="12" t="n">
        <x:v>16</x:v>
      </x:c>
      <x:c r="C138" s="12" t="str">
        <x:v>Architecture and design paper (EMSE)</x:v>
      </x:c>
      <x:c r="D138" s="12" t="str">
        <x:v>Publication</x:v>
      </x:c>
      <x:c r="E138" s="12" t="str">
        <x:v>Address editorial and peer review</x:v>
      </x:c>
      <x:c r="F138" s="12" t="str">
        <x:v>Respond point-by-point, rerun analyses if needed, update code/data and track versioned revisions.</x:v>
      </x:c>
      <x:c r="G138" s="12" t="str">
        <x:v>Response letter and revised manuscript</x:v>
      </x:c>
      <x:c r="H138" s="12" t="str">
        <x:v>Not Started</x:v>
      </x:c>
      <x:c r="I138" s="12" t="str">
        <x:v>Medium</x:v>
      </x:c>
      <x:c r="J138" s="12" t="str">
        <x:v>16.11</x:v>
      </x:c>
      <x:c r="K138" s="12" t="str"/>
      <x:c r="L138" s="12" t="str"/>
      <x:c r="M138" s="12" t="str">
        <x:v>Planned / not evidenced</x:v>
      </x:c>
      <x:c r="N138" s="12" t="str"/>
      <x:c r="O138" s="12" t="str"/>
    </x:row>
    <x:row r="139" ht="47" customHeight="1">
      <x:c r="A139" s="12" t="str">
        <x:v>16.13</x:v>
      </x:c>
      <x:c r="B139" s="12" t="n">
        <x:v>16</x:v>
      </x:c>
      <x:c r="C139" s="12" t="str">
        <x:v>Architecture and design paper (EMSE)</x:v>
      </x:c>
      <x:c r="D139" s="12" t="str">
        <x:v>Publication</x:v>
      </x:c>
      <x:c r="E139" s="12" t="str">
        <x:v>Complete acceptance, proofs and dissemination</x:v>
      </x:c>
      <x:c r="F139" s="12" t="str">
        <x:v>Review proofs, archive DOI, publish permitted artifacts and update dissertation bibliography.</x:v>
      </x:c>
      <x:c r="G139" s="12" t="str">
        <x:v>Accepted/published article and repository record</x:v>
      </x:c>
      <x:c r="H139" s="12" t="str">
        <x:v>Not Started</x:v>
      </x:c>
      <x:c r="I139" s="12" t="str">
        <x:v>Medium</x:v>
      </x:c>
      <x:c r="J139" s="12" t="str">
        <x:v>16.12</x:v>
      </x:c>
      <x:c r="K139" s="12" t="str"/>
      <x:c r="L139" s="12" t="str"/>
      <x:c r="M139" s="12" t="str">
        <x:v>Planned / not evidenced</x:v>
      </x:c>
      <x:c r="N139" s="12" t="str"/>
      <x:c r="O139" s="12" t="str"/>
    </x:row>
    <x:row r="140" ht="47" customHeight="1">
      <x:c r="A140" s="12" t="str">
        <x:v>17.01</x:v>
      </x:c>
      <x:c r="B140" s="12" t="n">
        <x:v>17</x:v>
      </x:c>
      <x:c r="C140" s="12" t="str">
        <x:v>Further research publications</x:v>
      </x:c>
      <x:c r="D140" s="12" t="str">
        <x:v>Publication</x:v>
      </x:c>
      <x:c r="E140" s="12" t="str">
        <x:v>Plan retrieval/provenance empirical paper</x:v>
      </x:c>
      <x:c r="F140" s="12" t="str">
        <x:v>Define distinct research question, corpus, metrics and novelty relative to architecture paper; avoid duplicate publication.</x:v>
      </x:c>
      <x:c r="G140" s="12" t="str">
        <x:v>Retrieval/provenance paper plan</x:v>
      </x:c>
      <x:c r="H140" s="12" t="str">
        <x:v>Not Started</x:v>
      </x:c>
      <x:c r="I140" s="12" t="str">
        <x:v>Medium</x:v>
      </x:c>
      <x:c r="J140" s="12" t="str">
        <x:v>12.09;16.01</x:v>
      </x:c>
      <x:c r="K140" s="12" t="str"/>
      <x:c r="L140" s="12" t="str"/>
      <x:c r="M140" s="12" t="str">
        <x:v>Planned / not evidenced</x:v>
      </x:c>
      <x:c r="N140" s="12" t="str"/>
      <x:c r="O140" s="12" t="str"/>
    </x:row>
    <x:row r="141" ht="47" customHeight="1">
      <x:c r="A141" s="12" t="str">
        <x:v>17.02</x:v>
      </x:c>
      <x:c r="B141" s="12" t="n">
        <x:v>17</x:v>
      </x:c>
      <x:c r="C141" s="12" t="str">
        <x:v>Further research publications</x:v>
      </x:c>
      <x:c r="D141" s="12" t="str">
        <x:v>Publication</x:v>
      </x:c>
      <x:c r="E141" s="12" t="str">
        <x:v>Draft retrieval/provenance manuscript</x:v>
      </x:c>
      <x:c r="F141" s="12" t="str">
        <x:v>Write related work, precise methods, temporal/anchor tests, statistical findings and replication materials.</x:v>
      </x:c>
      <x:c r="G141" s="12" t="str">
        <x:v>Second manuscript complete draft</x:v>
      </x:c>
      <x:c r="H141" s="12" t="str">
        <x:v>Not Started</x:v>
      </x:c>
      <x:c r="I141" s="12" t="str">
        <x:v>Medium</x:v>
      </x:c>
      <x:c r="J141" s="12" t="str">
        <x:v>17.01</x:v>
      </x:c>
      <x:c r="K141" s="12" t="str"/>
      <x:c r="L141" s="12" t="str"/>
      <x:c r="M141" s="12" t="str">
        <x:v>Planned / not evidenced</x:v>
      </x:c>
      <x:c r="N141" s="12" t="str"/>
      <x:c r="O141" s="12" t="str"/>
    </x:row>
    <x:row r="142" ht="47" customHeight="1">
      <x:c r="A142" s="12" t="str">
        <x:v>17.03</x:v>
      </x:c>
      <x:c r="B142" s="12" t="n">
        <x:v>17</x:v>
      </x:c>
      <x:c r="C142" s="12" t="str">
        <x:v>Further research publications</x:v>
      </x:c>
      <x:c r="D142" s="12" t="str">
        <x:v>Publication</x:v>
      </x:c>
      <x:c r="E142" s="12" t="str">
        <x:v>Submit and revise retrieval paper</x:v>
      </x:c>
      <x:c r="F142" s="12" t="str">
        <x:v>Select appropriate venue, check overlap, submit, respond to reviews and preserve artifacts.</x:v>
      </x:c>
      <x:c r="G142" s="12" t="str">
        <x:v>Second paper submission/publication record</x:v>
      </x:c>
      <x:c r="H142" s="12" t="str">
        <x:v>Not Started</x:v>
      </x:c>
      <x:c r="I142" s="12" t="str">
        <x:v>Medium</x:v>
      </x:c>
      <x:c r="J142" s="12" t="str">
        <x:v>17.02</x:v>
      </x:c>
      <x:c r="K142" s="12" t="str"/>
      <x:c r="L142" s="12" t="str"/>
      <x:c r="M142" s="12" t="str">
        <x:v>Planned / not evidenced</x:v>
      </x:c>
      <x:c r="N142" s="12" t="str"/>
      <x:c r="O142" s="12" t="str"/>
    </x:row>
    <x:row r="143" ht="47" customHeight="1">
      <x:c r="A143" s="12" t="str">
        <x:v>17.04</x:v>
      </x:c>
      <x:c r="B143" s="12" t="n">
        <x:v>17</x:v>
      </x:c>
      <x:c r="C143" s="12" t="str">
        <x:v>Further research publications</x:v>
      </x:c>
      <x:c r="D143" s="12" t="str">
        <x:v>Publication</x:v>
      </x:c>
      <x:c r="E143" s="12" t="str">
        <x:v>Plan MCAS hazard analysis case-study paper</x:v>
      </x:c>
      <x:c r="F143" s="12" t="str">
        <x:v>Focus on simulation fidelity, fault scenarios, corrective controls, historical validity and expert adjudication.</x:v>
      </x:c>
      <x:c r="G143" s="12" t="str">
        <x:v>MCAS case-study paper plan</x:v>
      </x:c>
      <x:c r="H143" s="12" t="str">
        <x:v>Not Started</x:v>
      </x:c>
      <x:c r="I143" s="12" t="str">
        <x:v>Medium</x:v>
      </x:c>
      <x:c r="J143" s="12" t="str">
        <x:v>09.09;12.09</x:v>
      </x:c>
      <x:c r="K143" s="12" t="str"/>
      <x:c r="L143" s="12" t="str"/>
      <x:c r="M143" s="12" t="str">
        <x:v>Planned / not evidenced</x:v>
      </x:c>
      <x:c r="N143" s="12" t="str"/>
      <x:c r="O143" s="12" t="str"/>
    </x:row>
    <x:row r="144" ht="47" customHeight="1">
      <x:c r="A144" s="12" t="str">
        <x:v>17.05</x:v>
      </x:c>
      <x:c r="B144" s="12" t="n">
        <x:v>17</x:v>
      </x:c>
      <x:c r="C144" s="12" t="str">
        <x:v>Further research publications</x:v>
      </x:c>
      <x:c r="D144" s="12" t="str">
        <x:v>Publication</x:v>
      </x:c>
      <x:c r="E144" s="12" t="str">
        <x:v>Draft and submit MCAS study</x:v>
      </x:c>
      <x:c r="F144" s="12" t="str">
        <x:v>Write case context, model assumptions, simulation protocol, empirical findings and limitations; handle review cycle.</x:v>
      </x:c>
      <x:c r="G144" s="12" t="str">
        <x:v>MCAS manuscript and submission record</x:v>
      </x:c>
      <x:c r="H144" s="12" t="str">
        <x:v>Not Started</x:v>
      </x:c>
      <x:c r="I144" s="12" t="str">
        <x:v>Medium</x:v>
      </x:c>
      <x:c r="J144" s="12" t="str">
        <x:v>17.04</x:v>
      </x:c>
      <x:c r="K144" s="12" t="str"/>
      <x:c r="L144" s="12" t="str"/>
      <x:c r="M144" s="12" t="str">
        <x:v>Planned / not evidenced</x:v>
      </x:c>
      <x:c r="N144" s="12" t="str"/>
      <x:c r="O144" s="12" t="str"/>
    </x:row>
    <x:row r="145" ht="47" customHeight="1">
      <x:c r="A145" s="12" t="str">
        <x:v>17.06</x:v>
      </x:c>
      <x:c r="B145" s="12" t="n">
        <x:v>17</x:v>
      </x:c>
      <x:c r="C145" s="12" t="str">
        <x:v>Further research publications</x:v>
      </x:c>
      <x:c r="D145" s="12" t="str">
        <x:v>Publication</x:v>
      </x:c>
      <x:c r="E145" s="12" t="str">
        <x:v>Plan human-AI teaming paper</x:v>
      </x:c>
      <x:c r="F145" s="12" t="str">
        <x:v>Define human-decision novelty, ethics, experimental contrasts and outcomes distinct from system architecture.</x:v>
      </x:c>
      <x:c r="G145" s="12" t="str">
        <x:v>Human-study paper plan</x:v>
      </x:c>
      <x:c r="H145" s="12" t="str">
        <x:v>Not Started</x:v>
      </x:c>
      <x:c r="I145" s="12" t="str">
        <x:v>Medium</x:v>
      </x:c>
      <x:c r="J145" s="12" t="str">
        <x:v>15.06</x:v>
      </x:c>
      <x:c r="K145" s="12" t="str"/>
      <x:c r="L145" s="12" t="str"/>
      <x:c r="M145" s="12" t="str">
        <x:v>Planned / not evidenced</x:v>
      </x:c>
      <x:c r="N145" s="12" t="str"/>
      <x:c r="O145" s="12" t="str"/>
    </x:row>
    <x:row r="146" ht="47" customHeight="1">
      <x:c r="A146" s="12" t="str">
        <x:v>17.07</x:v>
      </x:c>
      <x:c r="B146" s="12" t="n">
        <x:v>17</x:v>
      </x:c>
      <x:c r="C146" s="12" t="str">
        <x:v>Further research publications</x:v>
      </x:c>
      <x:c r="D146" s="12" t="str">
        <x:v>Publication</x:v>
      </x:c>
      <x:c r="E146" s="12" t="str">
        <x:v>Draft and submit human study</x:v>
      </x:c>
      <x:c r="F146" s="12" t="str">
        <x:v>Report participant design, measures, statistical findings, limitations and replicable instruments.</x:v>
      </x:c>
      <x:c r="G146" s="12" t="str">
        <x:v>Human-AI paper and submission record</x:v>
      </x:c>
      <x:c r="H146" s="12" t="str">
        <x:v>Not Started</x:v>
      </x:c>
      <x:c r="I146" s="12" t="str">
        <x:v>Medium</x:v>
      </x:c>
      <x:c r="J146" s="12" t="str">
        <x:v>17.06</x:v>
      </x:c>
      <x:c r="K146" s="12" t="str"/>
      <x:c r="L146" s="12" t="str"/>
      <x:c r="M146" s="12" t="str">
        <x:v>Planned / not evidenced</x:v>
      </x:c>
      <x:c r="N146" s="12" t="str"/>
      <x:c r="O146" s="12" t="str"/>
    </x:row>
    <x:row r="147" ht="47" customHeight="1">
      <x:c r="A147" s="12" t="str">
        <x:v>17.08</x:v>
      </x:c>
      <x:c r="B147" s="12" t="n">
        <x:v>17</x:v>
      </x:c>
      <x:c r="C147" s="12" t="str">
        <x:v>Further research publications</x:v>
      </x:c>
      <x:c r="D147" s="12" t="str">
        <x:v>Publication</x:v>
      </x:c>
      <x:c r="E147" s="12" t="str">
        <x:v>Evaluate optional cross-domain synthesis paper</x:v>
      </x:c>
      <x:c r="F147" s="12" t="str">
        <x:v>Proceed only if secondary case yields independent findings and sufficient contribution.</x:v>
      </x:c>
      <x:c r="G147" s="12" t="str">
        <x:v>Optional generalization paper decision</x:v>
      </x:c>
      <x:c r="H147" s="12" t="str">
        <x:v>Not Started</x:v>
      </x:c>
      <x:c r="I147" s="12" t="str">
        <x:v>Medium</x:v>
      </x:c>
      <x:c r="J147" s="12" t="str">
        <x:v>13.05</x:v>
      </x:c>
      <x:c r="K147" s="12" t="str"/>
      <x:c r="L147" s="12" t="str"/>
      <x:c r="M147" s="12" t="str">
        <x:v>Planned / not evidenced</x:v>
      </x:c>
      <x:c r="N147" s="12" t="str"/>
      <x:c r="O147" s="12" t="str"/>
    </x:row>
    <x:row r="148" ht="47" customHeight="1">
      <x:c r="A148" s="12" t="str">
        <x:v>17.09</x:v>
      </x:c>
      <x:c r="B148" s="12" t="n">
        <x:v>17</x:v>
      </x:c>
      <x:c r="C148" s="12" t="str">
        <x:v>Further research publications</x:v>
      </x:c>
      <x:c r="D148" s="12" t="str">
        <x:v>Publication</x:v>
      </x:c>
      <x:c r="E148" s="12" t="str">
        <x:v>Maintain publication ethics and authorship</x:v>
      </x:c>
      <x:c r="F148" s="12" t="str">
        <x:v>Document authorship, overlap, permissions, artifact releases, conference/journal policy and preprint choices.</x:v>
      </x:c>
      <x:c r="G148" s="12" t="str">
        <x:v>Authorship and publication compliance log</x:v>
      </x:c>
      <x:c r="H148" s="12" t="str">
        <x:v>In Progress</x:v>
      </x:c>
      <x:c r="I148" s="12" t="str">
        <x:v>Medium</x:v>
      </x:c>
      <x:c r="J148" s="12" t="str">
        <x:v>16.01</x:v>
      </x:c>
      <x:c r="K148" s="12" t="str"/>
      <x:c r="L148" s="12" t="str"/>
      <x:c r="M148" s="12" t="str">
        <x:v>Prior implementation or draft; verification required</x:v>
      </x:c>
      <x:c r="N148" s="12" t="str"/>
      <x:c r="O148" s="12" t="str"/>
    </x:row>
    <x:row r="149" ht="47" customHeight="1">
      <x:c r="A149" s="12" t="str">
        <x:v>18.01</x:v>
      </x:c>
      <x:c r="B149" s="12" t="n">
        <x:v>18</x:v>
      </x:c>
      <x:c r="C149" s="12" t="str">
        <x:v>Dissertation drafting and integration</x:v>
      </x:c>
      <x:c r="D149" s="12" t="str">
        <x:v>Dissertation</x:v>
      </x:c>
      <x:c r="E149" s="12" t="str">
        <x:v>Confirm graduate-school dissertation rules</x:v>
      </x:c>
      <x:c r="F149" s="12" t="str">
        <x:v>Verify dissertation format, committee requirements, manuscript integration policy, repository submission and required forms.</x:v>
      </x:c>
      <x:c r="G149" s="12" t="str">
        <x:v>Institutional dissertation compliance checklist</x:v>
      </x:c>
      <x:c r="H149" s="12" t="str">
        <x:v>Needs Verification</x:v>
      </x:c>
      <x:c r="I149" s="12" t="str">
        <x:v>High</x:v>
      </x:c>
      <x:c r="J149" s="12" t="str">
        <x:v>01.08</x:v>
      </x:c>
      <x:c r="K149" s="12" t="str"/>
      <x:c r="L149" s="12" t="str"/>
      <x:c r="M149" s="12" t="str">
        <x:v>Prior implementation or draft; verification required</x:v>
      </x:c>
      <x:c r="N149" s="12" t="str"/>
      <x:c r="O149" s="12" t="str"/>
    </x:row>
    <x:row r="150" ht="47" customHeight="1">
      <x:c r="A150" s="12" t="str">
        <x:v>18.02</x:v>
      </x:c>
      <x:c r="B150" s="12" t="n">
        <x:v>18</x:v>
      </x:c>
      <x:c r="C150" s="12" t="str">
        <x:v>Dissertation drafting and integration</x:v>
      </x:c>
      <x:c r="D150" s="12" t="str">
        <x:v>Dissertation</x:v>
      </x:c>
      <x:c r="E150" s="12" t="str">
        <x:v>Reconcile existing LaTeX chapter drafts</x:v>
      </x:c>
      <x:c r="F150" s="12" t="str">
        <x:v>Inventory drafted chapters, references, figures and stale claims; mark placeholders and obsolete architectures.</x:v>
      </x:c>
      <x:c r="G150" s="12" t="str">
        <x:v>Chapter inventory and revision backlog</x:v>
      </x:c>
      <x:c r="H150" s="12" t="str">
        <x:v>In Progress</x:v>
      </x:c>
      <x:c r="I150" s="12" t="str">
        <x:v>High</x:v>
      </x:c>
      <x:c r="J150" s="12" t="str">
        <x:v>18.01;02.10</x:v>
      </x:c>
      <x:c r="K150" s="12" t="str"/>
      <x:c r="L150" s="12" t="str"/>
      <x:c r="M150" s="12" t="str">
        <x:v>Prior implementation or draft; verification required</x:v>
      </x:c>
      <x:c r="N150" s="12" t="str"/>
      <x:c r="O150" s="12" t="str"/>
    </x:row>
    <x:row r="151" ht="47" customHeight="1">
      <x:c r="A151" s="12" t="str">
        <x:v>18.03</x:v>
      </x:c>
      <x:c r="B151" s="12" t="n">
        <x:v>18</x:v>
      </x:c>
      <x:c r="C151" s="12" t="str">
        <x:v>Dissertation drafting and integration</x:v>
      </x:c>
      <x:c r="D151" s="12" t="str">
        <x:v>Dissertation</x:v>
      </x:c>
      <x:c r="E151" s="12" t="str">
        <x:v>Write Chapter 1: introduction and problem</x:v>
      </x:c>
      <x:c r="F151" s="12" t="str">
        <x:v>State motivation, precise gap, RQs, contributions, scope and organization, reflecting REFSafE.</x:v>
      </x:c>
      <x:c r="G151" s="12" t="str">
        <x:v>Chapter 1 final draft</x:v>
      </x:c>
      <x:c r="H151" s="12" t="str">
        <x:v>In Progress</x:v>
      </x:c>
      <x:c r="I151" s="12" t="str">
        <x:v>High</x:v>
      </x:c>
      <x:c r="J151" s="12" t="str">
        <x:v>03.01;18.02</x:v>
      </x:c>
      <x:c r="K151" s="12" t="str"/>
      <x:c r="L151" s="12" t="str"/>
      <x:c r="M151" s="12" t="str">
        <x:v>Prior implementation or draft; verification required</x:v>
      </x:c>
      <x:c r="N151" s="12" t="str"/>
      <x:c r="O151" s="12" t="str"/>
    </x:row>
    <x:row r="152" ht="47" customHeight="1">
      <x:c r="A152" s="12" t="str">
        <x:v>18.04</x:v>
      </x:c>
      <x:c r="B152" s="12" t="n">
        <x:v>18</x:v>
      </x:c>
      <x:c r="C152" s="12" t="str">
        <x:v>Dissertation drafting and integration</x:v>
      </x:c>
      <x:c r="D152" s="12" t="str">
        <x:v>Dissertation</x:v>
      </x:c>
      <x:c r="E152" s="12" t="str">
        <x:v>Write Chapter 2: foundations and related work</x:v>
      </x:c>
      <x:c r="F152" s="12" t="str">
        <x:v>Integrate systematic literature, safety theory, REFSafE comparison and bounded novelty.</x:v>
      </x:c>
      <x:c r="G152" s="12" t="str">
        <x:v>Chapter 2 final draft</x:v>
      </x:c>
      <x:c r="H152" s="12" t="str">
        <x:v>In Progress</x:v>
      </x:c>
      <x:c r="I152" s="12" t="str">
        <x:v>High</x:v>
      </x:c>
      <x:c r="J152" s="12" t="str">
        <x:v>02.10;18.02</x:v>
      </x:c>
      <x:c r="K152" s="12" t="str"/>
      <x:c r="L152" s="12" t="str"/>
      <x:c r="M152" s="12" t="str">
        <x:v>Prior implementation or draft; verification required</x:v>
      </x:c>
      <x:c r="N152" s="12" t="str"/>
      <x:c r="O152" s="12" t="str"/>
    </x:row>
    <x:row r="153" ht="47" customHeight="1">
      <x:c r="A153" s="12" t="str">
        <x:v>18.05</x:v>
      </x:c>
      <x:c r="B153" s="12" t="n">
        <x:v>18</x:v>
      </x:c>
      <x:c r="C153" s="12" t="str">
        <x:v>Dissertation drafting and integration</x:v>
      </x:c>
      <x:c r="D153" s="12" t="str">
        <x:v>Dissertation</x:v>
      </x:c>
      <x:c r="E153" s="12" t="str">
        <x:v>Write Chapter 3: SafetyRAG architecture</x:v>
      </x:c>
      <x:c r="F153" s="12" t="str">
        <x:v>Present SEG, provenance, retrieval, verification, authorization, formal requirements and design tradeoffs.</x:v>
      </x:c>
      <x:c r="G153" s="12" t="str">
        <x:v>Chapter 3 final draft</x:v>
      </x:c>
      <x:c r="H153" s="12" t="str">
        <x:v>In Progress</x:v>
      </x:c>
      <x:c r="I153" s="12" t="str">
        <x:v>High</x:v>
      </x:c>
      <x:c r="J153" s="12" t="str">
        <x:v>06.08;18.02</x:v>
      </x:c>
      <x:c r="K153" s="12" t="str"/>
      <x:c r="L153" s="12" t="str"/>
      <x:c r="M153" s="12" t="str">
        <x:v>Prior implementation or draft; verification required</x:v>
      </x:c>
      <x:c r="N153" s="12" t="str"/>
      <x:c r="O153" s="12" t="str"/>
    </x:row>
    <x:row r="154" ht="47" customHeight="1">
      <x:c r="A154" s="12" t="str">
        <x:v>18.06</x:v>
      </x:c>
      <x:c r="B154" s="12" t="n">
        <x:v>18</x:v>
      </x:c>
      <x:c r="C154" s="12" t="str">
        <x:v>Dissertation drafting and integration</x:v>
      </x:c>
      <x:c r="D154" s="12" t="str">
        <x:v>Dissertation</x:v>
      </x:c>
      <x:c r="E154" s="12" t="str">
        <x:v>Write Chapter 4: methodology and benchmark</x:v>
      </x:c>
      <x:c r="F154" s="12" t="str">
        <x:v>Specify case studies, data provenance, gold standards, experimental controls, metrics and statistics.</x:v>
      </x:c>
      <x:c r="G154" s="12" t="str">
        <x:v>Chapter 4 final draft</x:v>
      </x:c>
      <x:c r="H154" s="12" t="str">
        <x:v>Not Started</x:v>
      </x:c>
      <x:c r="I154" s="12" t="str">
        <x:v>High</x:v>
      </x:c>
      <x:c r="J154" s="12" t="str">
        <x:v>11.08;03.08</x:v>
      </x:c>
      <x:c r="K154" s="12" t="str"/>
      <x:c r="L154" s="12" t="str"/>
      <x:c r="M154" s="12" t="str">
        <x:v>Planned / not evidenced</x:v>
      </x:c>
      <x:c r="N154" s="12" t="str"/>
      <x:c r="O154" s="12" t="str"/>
    </x:row>
    <x:row r="155" ht="47" customHeight="1">
      <x:c r="A155" s="12" t="str">
        <x:v>18.07</x:v>
      </x:c>
      <x:c r="B155" s="12" t="n">
        <x:v>18</x:v>
      </x:c>
      <x:c r="C155" s="12" t="str">
        <x:v>Dissertation drafting and integration</x:v>
      </x:c>
      <x:c r="D155" s="12" t="str">
        <x:v>Dissertation</x:v>
      </x:c>
      <x:c r="E155" s="12" t="str">
        <x:v>Write Chapter 5: MCAS system and experiments</x:v>
      </x:c>
      <x:c r="F155" s="12" t="str">
        <x:v>Describe simulator, scenario validity, integrated SafetyRAG workflow and case-study data.</x:v>
      </x:c>
      <x:c r="G155" s="12" t="str">
        <x:v>Chapter 5 final draft</x:v>
      </x:c>
      <x:c r="H155" s="12" t="str">
        <x:v>Not Started</x:v>
      </x:c>
      <x:c r="I155" s="12" t="str">
        <x:v>High</x:v>
      </x:c>
      <x:c r="J155" s="12" t="str">
        <x:v>10.07;09.09</x:v>
      </x:c>
      <x:c r="K155" s="12" t="str"/>
      <x:c r="L155" s="12" t="str"/>
      <x:c r="M155" s="12" t="str">
        <x:v>Planned / not evidenced</x:v>
      </x:c>
      <x:c r="N155" s="12" t="str"/>
      <x:c r="O155" s="12" t="str"/>
    </x:row>
    <x:row r="156" ht="47" customHeight="1">
      <x:c r="A156" s="12" t="str">
        <x:v>18.08</x:v>
      </x:c>
      <x:c r="B156" s="12" t="n">
        <x:v>18</x:v>
      </x:c>
      <x:c r="C156" s="12" t="str">
        <x:v>Dissertation drafting and integration</x:v>
      </x:c>
      <x:c r="D156" s="12" t="str">
        <x:v>Dissertation</x:v>
      </x:c>
      <x:c r="E156" s="12" t="str">
        <x:v>Write Chapter 6: technical empirical results</x:v>
      </x:c>
      <x:c r="F156" s="12" t="str">
        <x:v>Present controlled system comparisons, ablations, failure analysis, uncertainty and reproducibility.</x:v>
      </x:c>
      <x:c r="G156" s="12" t="str">
        <x:v>Chapter 6 final draft</x:v>
      </x:c>
      <x:c r="H156" s="12" t="str">
        <x:v>Not Started</x:v>
      </x:c>
      <x:c r="I156" s="12" t="str">
        <x:v>High</x:v>
      </x:c>
      <x:c r="J156" s="12" t="str">
        <x:v>12.09</x:v>
      </x:c>
      <x:c r="K156" s="12" t="str"/>
      <x:c r="L156" s="12" t="str"/>
      <x:c r="M156" s="12" t="str">
        <x:v>Planned / not evidenced</x:v>
      </x:c>
      <x:c r="N156" s="12" t="str"/>
      <x:c r="O156" s="12" t="str"/>
    </x:row>
    <x:row r="157" ht="47" customHeight="1">
      <x:c r="A157" s="12" t="str">
        <x:v>18.09</x:v>
      </x:c>
      <x:c r="B157" s="12" t="n">
        <x:v>18</x:v>
      </x:c>
      <x:c r="C157" s="12" t="str">
        <x:v>Dissertation drafting and integration</x:v>
      </x:c>
      <x:c r="D157" s="12" t="str">
        <x:v>Dissertation</x:v>
      </x:c>
      <x:c r="E157" s="12" t="str">
        <x:v>Write Chapter 7: human and generalization results</x:v>
      </x:c>
      <x:c r="F157" s="12" t="str">
        <x:v>Present human-study and secondary-case findings, or document approved scope adjustments.</x:v>
      </x:c>
      <x:c r="G157" s="12" t="str">
        <x:v>Chapter 7 final draft</x:v>
      </x:c>
      <x:c r="H157" s="12" t="str">
        <x:v>Not Started</x:v>
      </x:c>
      <x:c r="I157" s="12" t="str">
        <x:v>High</x:v>
      </x:c>
      <x:c r="J157" s="12" t="str">
        <x:v>13.05;15.06</x:v>
      </x:c>
      <x:c r="K157" s="12" t="str"/>
      <x:c r="L157" s="12" t="str"/>
      <x:c r="M157" s="12" t="str">
        <x:v>Planned / not evidenced</x:v>
      </x:c>
      <x:c r="N157" s="12" t="str"/>
      <x:c r="O157" s="12" t="str"/>
    </x:row>
    <x:row r="158" ht="47" customHeight="1">
      <x:c r="A158" s="12" t="str">
        <x:v>18.10</x:v>
      </x:c>
      <x:c r="B158" s="12" t="n">
        <x:v>18</x:v>
      </x:c>
      <x:c r="C158" s="12" t="str">
        <x:v>Dissertation drafting and integration</x:v>
      </x:c>
      <x:c r="D158" s="12" t="str">
        <x:v>Dissertation</x:v>
      </x:c>
      <x:c r="E158" s="12" t="str">
        <x:v>Write Chapter 8: synthesis and conclusions</x:v>
      </x:c>
      <x:c r="F158" s="12" t="str">
        <x:v>Integrate findings by RQ, theoretical/practical contributions, threats, future work and limitations.</x:v>
      </x:c>
      <x:c r="G158" s="12" t="str">
        <x:v>Chapter 8 final draft</x:v>
      </x:c>
      <x:c r="H158" s="12" t="str">
        <x:v>Not Started</x:v>
      </x:c>
      <x:c r="I158" s="12" t="str">
        <x:v>High</x:v>
      </x:c>
      <x:c r="J158" s="12" t="str">
        <x:v>18.06;18.07;18.08</x:v>
      </x:c>
      <x:c r="K158" s="12" t="str"/>
      <x:c r="L158" s="12" t="str"/>
      <x:c r="M158" s="12" t="str">
        <x:v>Planned / not evidenced</x:v>
      </x:c>
      <x:c r="N158" s="12" t="str"/>
      <x:c r="O158" s="12" t="str"/>
    </x:row>
    <x:row r="159" ht="47" customHeight="1">
      <x:c r="A159" s="12" t="str">
        <x:v>18.11</x:v>
      </x:c>
      <x:c r="B159" s="12" t="n">
        <x:v>18</x:v>
      </x:c>
      <x:c r="C159" s="12" t="str">
        <x:v>Dissertation drafting and integration</x:v>
      </x:c>
      <x:c r="D159" s="12" t="str">
        <x:v>Dissertation</x:v>
      </x:c>
      <x:c r="E159" s="12" t="str">
        <x:v>Prepare appendices and artifact catalog</x:v>
      </x:c>
      <x:c r="F159" s="12" t="str">
        <x:v>Include protocols, detailed schemas, prompts, code manifests, source registers, instruments and supplementary results.</x:v>
      </x:c>
      <x:c r="G159" s="12" t="str">
        <x:v>Complete dissertation appendices</x:v>
      </x:c>
      <x:c r="H159" s="12" t="str">
        <x:v>Not Started</x:v>
      </x:c>
      <x:c r="I159" s="12" t="str">
        <x:v>High</x:v>
      </x:c>
      <x:c r="J159" s="12" t="str">
        <x:v>18.09</x:v>
      </x:c>
      <x:c r="K159" s="12" t="str"/>
      <x:c r="L159" s="12" t="str"/>
      <x:c r="M159" s="12" t="str">
        <x:v>Planned / not evidenced</x:v>
      </x:c>
      <x:c r="N159" s="12" t="str"/>
      <x:c r="O159" s="12" t="str"/>
    </x:row>
    <x:row r="160" ht="47" customHeight="1">
      <x:c r="A160" s="12" t="str">
        <x:v>18.12</x:v>
      </x:c>
      <x:c r="B160" s="12" t="n">
        <x:v>18</x:v>
      </x:c>
      <x:c r="C160" s="12" t="str">
        <x:v>Dissertation drafting and integration</x:v>
      </x:c>
      <x:c r="D160" s="12" t="str">
        <x:v>Dissertation</x:v>
      </x:c>
      <x:c r="E160" s="12" t="str">
        <x:v>Audit dissertation claims and citations</x:v>
      </x:c>
      <x:c r="F160" s="12" t="str">
        <x:v>Check every empirical claim against tables/data, every source against reference manager and no unmeasured superiority claims.</x:v>
      </x:c>
      <x:c r="G160" s="12" t="str">
        <x:v>Claim-to-evidence audit report</x:v>
      </x:c>
      <x:c r="H160" s="12" t="str">
        <x:v>Not Started</x:v>
      </x:c>
      <x:c r="I160" s="12" t="str">
        <x:v>High</x:v>
      </x:c>
      <x:c r="J160" s="12" t="str">
        <x:v>18.10</x:v>
      </x:c>
      <x:c r="K160" s="12" t="str"/>
      <x:c r="L160" s="12" t="str"/>
      <x:c r="M160" s="12" t="str">
        <x:v>Planned / not evidenced</x:v>
      </x:c>
      <x:c r="N160" s="12" t="str"/>
      <x:c r="O160" s="12" t="str"/>
    </x:row>
    <x:row r="161" ht="47" customHeight="1">
      <x:c r="A161" s="12" t="str">
        <x:v>18.13</x:v>
      </x:c>
      <x:c r="B161" s="12" t="n">
        <x:v>18</x:v>
      </x:c>
      <x:c r="C161" s="12" t="str">
        <x:v>Dissertation drafting and integration</x:v>
      </x:c>
      <x:c r="D161" s="12" t="str">
        <x:v>Dissertation</x:v>
      </x:c>
      <x:c r="E161" s="12" t="str">
        <x:v>Complete adviser and committee revisions</x:v>
      </x:c>
      <x:c r="F161" s="12" t="str">
        <x:v>Run chapter reviews, resolve tracked comments, language consistency, figures and cross-references.</x:v>
      </x:c>
      <x:c r="G161" s="12" t="str">
        <x:v>Committee-review dissertation draft</x:v>
      </x:c>
      <x:c r="H161" s="12" t="str">
        <x:v>Not Started</x:v>
      </x:c>
      <x:c r="I161" s="12" t="str">
        <x:v>High</x:v>
      </x:c>
      <x:c r="J161" s="12" t="str">
        <x:v>18.11</x:v>
      </x:c>
      <x:c r="K161" s="12" t="str"/>
      <x:c r="L161" s="12" t="str"/>
      <x:c r="M161" s="12" t="str">
        <x:v>Planned / not evidenced</x:v>
      </x:c>
      <x:c r="N161" s="12" t="str"/>
      <x:c r="O161" s="12" t="str"/>
    </x:row>
    <x:row r="162" ht="47" customHeight="1">
      <x:c r="A162" s="12" t="str">
        <x:v>19.01</x:v>
      </x:c>
      <x:c r="B162" s="12" t="n">
        <x:v>19</x:v>
      </x:c>
      <x:c r="C162" s="12" t="str">
        <x:v>Defense, submission and archival</x:v>
      </x:c>
      <x:c r="D162" s="12" t="str">
        <x:v>Graduation</x:v>
      </x:c>
      <x:c r="E162" s="12" t="str">
        <x:v>Verify eligibility to schedule defense</x:v>
      </x:c>
      <x:c r="F162" s="12" t="str">
        <x:v>Confirm approval milestones, enrollment, publication requirements if any, committee availability and university deadlines.</x:v>
      </x:c>
      <x:c r="G162" s="12" t="str">
        <x:v>Defense eligibility confirmation</x:v>
      </x:c>
      <x:c r="H162" s="12" t="str">
        <x:v>Not Started</x:v>
      </x:c>
      <x:c r="I162" s="12" t="str">
        <x:v>High</x:v>
      </x:c>
      <x:c r="J162" s="12" t="str">
        <x:v>18.12;01.08</x:v>
      </x:c>
      <x:c r="K162" s="12" t="str"/>
      <x:c r="L162" s="12" t="str"/>
      <x:c r="M162" s="12" t="str">
        <x:v>Planned / not evidenced</x:v>
      </x:c>
      <x:c r="N162" s="12" t="str"/>
      <x:c r="O162" s="12" t="str"/>
    </x:row>
    <x:row r="163" ht="47" customHeight="1">
      <x:c r="A163" s="12" t="str">
        <x:v>19.02</x:v>
      </x:c>
      <x:c r="B163" s="12" t="n">
        <x:v>19</x:v>
      </x:c>
      <x:c r="C163" s="12" t="str">
        <x:v>Defense, submission and archival</x:v>
      </x:c>
      <x:c r="D163" s="12" t="str">
        <x:v>Graduation</x:v>
      </x:c>
      <x:c r="E163" s="12" t="str">
        <x:v>Prepare defense slide deck and script</x:v>
      </x:c>
      <x:c r="F163" s="12" t="str">
        <x:v>Condense methods, implementation, results, validity, contributions and REFSafE positioning into defensible narrative.</x:v>
      </x:c>
      <x:c r="G163" s="12" t="str">
        <x:v>Defense presentation and speaking notes</x:v>
      </x:c>
      <x:c r="H163" s="12" t="str">
        <x:v>Not Started</x:v>
      </x:c>
      <x:c r="I163" s="12" t="str">
        <x:v>High</x:v>
      </x:c>
      <x:c r="J163" s="12" t="str">
        <x:v>19.01</x:v>
      </x:c>
      <x:c r="K163" s="12" t="str"/>
      <x:c r="L163" s="12" t="str"/>
      <x:c r="M163" s="12" t="str">
        <x:v>Planned / not evidenced</x:v>
      </x:c>
      <x:c r="N163" s="12" t="str"/>
      <x:c r="O163" s="12" t="str"/>
    </x:row>
    <x:row r="164" ht="47" customHeight="1">
      <x:c r="A164" s="12" t="str">
        <x:v>19.03</x:v>
      </x:c>
      <x:c r="B164" s="12" t="n">
        <x:v>19</x:v>
      </x:c>
      <x:c r="C164" s="12" t="str">
        <x:v>Defense, submission and archival</x:v>
      </x:c>
      <x:c r="D164" s="12" t="str">
        <x:v>Graduation</x:v>
      </x:c>
      <x:c r="E164" s="12" t="str">
        <x:v>Conduct mock defense and adversarial Q&amp;A</x:v>
      </x:c>
      <x:c r="F164" s="12" t="str">
        <x:v>Practice novelty, baseline fairness, ethics, MCAS hindsight, reproducibility and negative-result explanations.</x:v>
      </x:c>
      <x:c r="G164" s="12" t="str">
        <x:v>Mock defense critique and revised materials</x:v>
      </x:c>
      <x:c r="H164" s="12" t="str">
        <x:v>Not Started</x:v>
      </x:c>
      <x:c r="I164" s="12" t="str">
        <x:v>High</x:v>
      </x:c>
      <x:c r="J164" s="12" t="str">
        <x:v>19.02</x:v>
      </x:c>
      <x:c r="K164" s="12" t="str"/>
      <x:c r="L164" s="12" t="str"/>
      <x:c r="M164" s="12" t="str">
        <x:v>Planned / not evidenced</x:v>
      </x:c>
      <x:c r="N164" s="12" t="str"/>
      <x:c r="O164" s="12" t="str"/>
    </x:row>
    <x:row r="165" ht="47" customHeight="1">
      <x:c r="A165" s="12" t="str">
        <x:v>19.04</x:v>
      </x:c>
      <x:c r="B165" s="12" t="n">
        <x:v>19</x:v>
      </x:c>
      <x:c r="C165" s="12" t="str">
        <x:v>Defense, submission and archival</x:v>
      </x:c>
      <x:c r="D165" s="12" t="str">
        <x:v>Graduation</x:v>
      </x:c>
      <x:c r="E165" s="12" t="str">
        <x:v>Distribute dissertation to committee</x:v>
      </x:c>
      <x:c r="F165" s="12" t="str">
        <x:v>Send approved draft and supporting artifacts with required lead time; document receipt and changes.</x:v>
      </x:c>
      <x:c r="G165" s="12" t="str">
        <x:v>Committee circulation record</x:v>
      </x:c>
      <x:c r="H165" s="12" t="str">
        <x:v>Not Started</x:v>
      </x:c>
      <x:c r="I165" s="12" t="str">
        <x:v>High</x:v>
      </x:c>
      <x:c r="J165" s="12" t="str">
        <x:v>19.01;18.12</x:v>
      </x:c>
      <x:c r="K165" s="12" t="str"/>
      <x:c r="L165" s="12" t="str"/>
      <x:c r="M165" s="12" t="str">
        <x:v>Planned / not evidenced</x:v>
      </x:c>
      <x:c r="N165" s="12" t="str"/>
      <x:c r="O165" s="12" t="str"/>
    </x:row>
    <x:row r="166" ht="47" customHeight="1">
      <x:c r="A166" s="12" t="str">
        <x:v>19.05</x:v>
      </x:c>
      <x:c r="B166" s="12" t="n">
        <x:v>19</x:v>
      </x:c>
      <x:c r="C166" s="12" t="str">
        <x:v>Defense, submission and archival</x:v>
      </x:c>
      <x:c r="D166" s="12" t="str">
        <x:v>Graduation</x:v>
      </x:c>
      <x:c r="E166" s="12" t="str">
        <x:v>Complete oral dissertation defense</x:v>
      </x:c>
      <x:c r="F166" s="12" t="str">
        <x:v>Present research and answer committee questions; record outcome and conditions.</x:v>
      </x:c>
      <x:c r="G166" s="12" t="str">
        <x:v>Defense decision and revision list</x:v>
      </x:c>
      <x:c r="H166" s="12" t="str">
        <x:v>Not Started</x:v>
      </x:c>
      <x:c r="I166" s="12" t="str">
        <x:v>High</x:v>
      </x:c>
      <x:c r="J166" s="12" t="str">
        <x:v>19.03;19.04</x:v>
      </x:c>
      <x:c r="K166" s="12" t="str"/>
      <x:c r="L166" s="12" t="str"/>
      <x:c r="M166" s="12" t="str">
        <x:v>Planned / not evidenced</x:v>
      </x:c>
      <x:c r="N166" s="12" t="str"/>
      <x:c r="O166" s="12" t="str"/>
    </x:row>
    <x:row r="167" ht="47" customHeight="1">
      <x:c r="A167" s="12" t="str">
        <x:v>19.06</x:v>
      </x:c>
      <x:c r="B167" s="12" t="n">
        <x:v>19</x:v>
      </x:c>
      <x:c r="C167" s="12" t="str">
        <x:v>Defense, submission and archival</x:v>
      </x:c>
      <x:c r="D167" s="12" t="str">
        <x:v>Graduation</x:v>
      </x:c>
      <x:c r="E167" s="12" t="str">
        <x:v>Complete post-defense corrections</x:v>
      </x:c>
      <x:c r="F167" s="12" t="str">
        <x:v>Implement required revisions, secure approvals and independently validate all references and figures.</x:v>
      </x:c>
      <x:c r="G167" s="12" t="str">
        <x:v>Approved final dissertation</x:v>
      </x:c>
      <x:c r="H167" s="12" t="str">
        <x:v>Not Started</x:v>
      </x:c>
      <x:c r="I167" s="12" t="str">
        <x:v>High</x:v>
      </x:c>
      <x:c r="J167" s="12" t="str">
        <x:v>19.05</x:v>
      </x:c>
      <x:c r="K167" s="12" t="str"/>
      <x:c r="L167" s="12" t="str"/>
      <x:c r="M167" s="12" t="str">
        <x:v>Planned / not evidenced</x:v>
      </x:c>
      <x:c r="N167" s="12" t="str"/>
      <x:c r="O167" s="12" t="str"/>
    </x:row>
    <x:row r="168" ht="47" customHeight="1">
      <x:c r="A168" s="12" t="str">
        <x:v>19.07</x:v>
      </x:c>
      <x:c r="B168" s="12" t="n">
        <x:v>19</x:v>
      </x:c>
      <x:c r="C168" s="12" t="str">
        <x:v>Defense, submission and archival</x:v>
      </x:c>
      <x:c r="D168" s="12" t="str">
        <x:v>Graduation</x:v>
      </x:c>
      <x:c r="E168" s="12" t="str">
        <x:v>Submit final dissertation to repository</x:v>
      </x:c>
      <x:c r="F168" s="12" t="str">
        <x:v>Follow institutional ETD formatting, embargo and metadata policies; archive accepted submission.</x:v>
      </x:c>
      <x:c r="G168" s="12" t="str">
        <x:v>Final ETD submission confirmation</x:v>
      </x:c>
      <x:c r="H168" s="12" t="str">
        <x:v>Not Started</x:v>
      </x:c>
      <x:c r="I168" s="12" t="str">
        <x:v>High</x:v>
      </x:c>
      <x:c r="J168" s="12" t="str">
        <x:v>19.06</x:v>
      </x:c>
      <x:c r="K168" s="12" t="str"/>
      <x:c r="L168" s="12" t="str"/>
      <x:c r="M168" s="12" t="str">
        <x:v>Planned / not evidenced</x:v>
      </x:c>
      <x:c r="N168" s="12" t="str"/>
      <x:c r="O168" s="12" t="str"/>
    </x:row>
    <x:row r="169" ht="47" customHeight="1">
      <x:c r="A169" s="12" t="str">
        <x:v>19.08</x:v>
      </x:c>
      <x:c r="B169" s="12" t="n">
        <x:v>19</x:v>
      </x:c>
      <x:c r="C169" s="12" t="str">
        <x:v>Defense, submission and archival</x:v>
      </x:c>
      <x:c r="D169" s="12" t="str">
        <x:v>Graduation</x:v>
      </x:c>
      <x:c r="E169" s="12" t="str">
        <x:v>Archive reproducibility package</x:v>
      </x:c>
      <x:c r="F169" s="12" t="str">
        <x:v>Release permitted code, synthetic/restricted data instructions, checksums, model configs, protocols and persistent identifiers.</x:v>
      </x:c>
      <x:c r="G169" s="12" t="str">
        <x:v>Versioned research archive and DOI</x:v>
      </x:c>
      <x:c r="H169" s="12" t="str">
        <x:v>Not Started</x:v>
      </x:c>
      <x:c r="I169" s="12" t="str">
        <x:v>High</x:v>
      </x:c>
      <x:c r="J169" s="12" t="str">
        <x:v>19.06;12.09</x:v>
      </x:c>
      <x:c r="K169" s="12" t="str"/>
      <x:c r="L169" s="12" t="str"/>
      <x:c r="M169" s="12" t="str">
        <x:v>Planned / not evidenced</x:v>
      </x:c>
      <x:c r="N169" s="12" t="str"/>
      <x:c r="O169" s="12" t="str"/>
    </x:row>
    <x:row r="170" ht="47" customHeight="1">
      <x:c r="A170" s="12" t="str">
        <x:v>19.09</x:v>
      </x:c>
      <x:c r="B170" s="12" t="n">
        <x:v>19</x:v>
      </x:c>
      <x:c r="C170" s="12" t="str">
        <x:v>Defense, submission and archival</x:v>
      </x:c>
      <x:c r="D170" s="12" t="str">
        <x:v>Graduation</x:v>
      </x:c>
      <x:c r="E170" s="12" t="str">
        <x:v>Complete final administrative clearance</x:v>
      </x:c>
      <x:c r="F170" s="12" t="str">
        <x:v>Confirm graduation forms, signatures, library deposit and program requirements.</x:v>
      </x:c>
      <x:c r="G170" s="12" t="str">
        <x:v>Degree completion clearance</x:v>
      </x:c>
      <x:c r="H170" s="12" t="str">
        <x:v>Not Started</x:v>
      </x:c>
      <x:c r="I170" s="12" t="str">
        <x:v>High</x:v>
      </x:c>
      <x:c r="J170" s="12" t="str">
        <x:v>19.07;19.08</x:v>
      </x:c>
      <x:c r="K170" s="12" t="str"/>
      <x:c r="L170" s="12" t="str"/>
      <x:c r="M170" s="12" t="str">
        <x:v>Planned / not evidenced</x:v>
      </x:c>
      <x:c r="N170" s="12" t="str"/>
      <x:c r="O170" s="12" t="str"/>
    </x:row>
    <x:row r="171" ht="47" customHeight="1">
      <x:c r="A171" s="12" t="str">
        <x:v>20.01</x:v>
      </x:c>
      <x:c r="B171" s="12" t="n">
        <x:v>20</x:v>
      </x:c>
      <x:c r="C171" s="12" t="str">
        <x:v>Ongoing research management and quality</x:v>
      </x:c>
      <x:c r="D171" s="12" t="str">
        <x:v>Management</x:v>
      </x:c>
      <x:c r="E171" s="12" t="str">
        <x:v>Maintain living master checklist</x:v>
      </x:c>
      <x:c r="F171" s="12" t="str">
        <x:v>Update task status only with evidence, record blockers and link outputs; review after each milestone.</x:v>
      </x:c>
      <x:c r="G171" s="12" t="str">
        <x:v>Current master workbook and change history</x:v>
      </x:c>
      <x:c r="H171" s="12" t="str">
        <x:v>In Progress</x:v>
      </x:c>
      <x:c r="I171" s="12" t="str">
        <x:v>Medium</x:v>
      </x:c>
      <x:c r="J171" s="12" t="str">
        <x:v>01.01</x:v>
      </x:c>
      <x:c r="K171" s="12" t="str"/>
      <x:c r="L171" s="12" t="str"/>
      <x:c r="M171" s="12" t="str">
        <x:v>Prior implementation or draft; verification required</x:v>
      </x:c>
      <x:c r="N171" s="12" t="str"/>
      <x:c r="O171" s="12" t="str"/>
    </x:row>
    <x:row r="172" ht="47" customHeight="1">
      <x:c r="A172" s="12" t="str">
        <x:v>20.02</x:v>
      </x:c>
      <x:c r="B172" s="12" t="n">
        <x:v>20</x:v>
      </x:c>
      <x:c r="C172" s="12" t="str">
        <x:v>Ongoing research management and quality</x:v>
      </x:c>
      <x:c r="D172" s="12" t="str">
        <x:v>Management</x:v>
      </x:c>
      <x:c r="E172" s="12" t="str">
        <x:v>Maintain research decision log</x:v>
      </x:c>
      <x:c r="F172" s="12" t="str">
        <x:v>Record architectural choices, rejected alternatives, tradeoffs, scope changes and committee decisions.</x:v>
      </x:c>
      <x:c r="G172" s="12" t="str">
        <x:v>Architecture/research decision records</x:v>
      </x:c>
      <x:c r="H172" s="12" t="str">
        <x:v>In Progress</x:v>
      </x:c>
      <x:c r="I172" s="12" t="str">
        <x:v>Medium</x:v>
      </x:c>
      <x:c r="J172" s="12" t="str">
        <x:v>20.01</x:v>
      </x:c>
      <x:c r="K172" s="12" t="str"/>
      <x:c r="L172" s="12" t="str"/>
      <x:c r="M172" s="12" t="str">
        <x:v>Prior implementation or draft; verification required</x:v>
      </x:c>
      <x:c r="N172" s="12" t="str"/>
      <x:c r="O172" s="12" t="str"/>
    </x:row>
    <x:row r="173" ht="47" customHeight="1">
      <x:c r="A173" s="12" t="str">
        <x:v>20.03</x:v>
      </x:c>
      <x:c r="B173" s="12" t="n">
        <x:v>20</x:v>
      </x:c>
      <x:c r="C173" s="12" t="str">
        <x:v>Ongoing research management and quality</x:v>
      </x:c>
      <x:c r="D173" s="12" t="str">
        <x:v>Management</x:v>
      </x:c>
      <x:c r="E173" s="12" t="str">
        <x:v>Maintain source and citation integrity</x:v>
      </x:c>
      <x:c r="F173" s="12" t="str">
        <x:v>Continuously check references, links, source dates, source hashes and claim-to-evidence mappings.</x:v>
      </x:c>
      <x:c r="G173" s="12" t="str">
        <x:v>Citation/source audit ledger</x:v>
      </x:c>
      <x:c r="H173" s="12" t="str">
        <x:v>In Progress</x:v>
      </x:c>
      <x:c r="I173" s="12" t="str">
        <x:v>Medium</x:v>
      </x:c>
      <x:c r="J173" s="12" t="str">
        <x:v>02.02</x:v>
      </x:c>
      <x:c r="K173" s="12" t="str"/>
      <x:c r="L173" s="12" t="str"/>
      <x:c r="M173" s="12" t="str">
        <x:v>Prior implementation or draft; verification required</x:v>
      </x:c>
      <x:c r="N173" s="12" t="str"/>
      <x:c r="O173" s="12" t="str"/>
    </x:row>
    <x:row r="174" ht="47" customHeight="1">
      <x:c r="A174" s="12" t="str">
        <x:v>20.04</x:v>
      </x:c>
      <x:c r="B174" s="12" t="n">
        <x:v>20</x:v>
      </x:c>
      <x:c r="C174" s="12" t="str">
        <x:v>Ongoing research management and quality</x:v>
      </x:c>
      <x:c r="D174" s="12" t="str">
        <x:v>Management</x:v>
      </x:c>
      <x:c r="E174" s="12" t="str">
        <x:v>Maintain backup and disaster recovery</x:v>
      </x:c>
      <x:c r="F174" s="12" t="str">
        <x:v>Back up source, PostgreSQL, documents, experiment outputs and manuscript; test restoration.</x:v>
      </x:c>
      <x:c r="G174" s="12" t="str">
        <x:v>Backup policy and restoration test</x:v>
      </x:c>
      <x:c r="H174" s="12" t="str">
        <x:v>Needs Verification</x:v>
      </x:c>
      <x:c r="I174" s="12" t="str">
        <x:v>Medium</x:v>
      </x:c>
      <x:c r="J174" s="12" t="str">
        <x:v>04.05</x:v>
      </x:c>
      <x:c r="K174" s="12" t="str"/>
      <x:c r="L174" s="12" t="str"/>
      <x:c r="M174" s="12" t="str">
        <x:v>Prior implementation or draft; verification required</x:v>
      </x:c>
      <x:c r="N174" s="12" t="str"/>
      <x:c r="O174" s="12" t="str"/>
    </x:row>
    <x:row r="175" ht="47" customHeight="1">
      <x:c r="A175" s="12" t="str">
        <x:v>20.05</x:v>
      </x:c>
      <x:c r="B175" s="12" t="n">
        <x:v>20</x:v>
      </x:c>
      <x:c r="C175" s="12" t="str">
        <x:v>Ongoing research management and quality</x:v>
      </x:c>
      <x:c r="D175" s="12" t="str">
        <x:v>Management</x:v>
      </x:c>
      <x:c r="E175" s="12" t="str">
        <x:v>Maintain risk and blocker register</x:v>
      </x:c>
      <x:c r="F175" s="12" t="str">
        <x:v>Track access, ethics, gold-standard availability, technical debt, model drift and schedule dependencies.</x:v>
      </x:c>
      <x:c r="G175" s="12" t="str">
        <x:v>Risk register with mitigations</x:v>
      </x:c>
      <x:c r="H175" s="12" t="str">
        <x:v>Not Started</x:v>
      </x:c>
      <x:c r="I175" s="12" t="str">
        <x:v>Medium</x:v>
      </x:c>
      <x:c r="J175" s="12" t="str">
        <x:v>20.01</x:v>
      </x:c>
      <x:c r="K175" s="12" t="str"/>
      <x:c r="L175" s="12" t="str"/>
      <x:c r="M175" s="12" t="str">
        <x:v>Planned / not evidenced</x:v>
      </x:c>
      <x:c r="N175" s="12" t="str"/>
      <x:c r="O175" s="12" t="str"/>
    </x:row>
    <x:row r="176" ht="47" customHeight="1">
      <x:c r="A176" s="12" t="str">
        <x:v>20.06</x:v>
      </x:c>
      <x:c r="B176" s="12" t="n">
        <x:v>20</x:v>
      </x:c>
      <x:c r="C176" s="12" t="str">
        <x:v>Ongoing research management and quality</x:v>
      </x:c>
      <x:c r="D176" s="12" t="str">
        <x:v>Management</x:v>
      </x:c>
      <x:c r="E176" s="12" t="str">
        <x:v>Review reproducibility at each milestone</x:v>
      </x:c>
      <x:c r="F176" s="12" t="str">
        <x:v>Repeat fresh-machine setup and key benchmark smoke tests before freezing any result or publication.</x:v>
      </x:c>
      <x:c r="G176" s="12" t="str">
        <x:v>Reproducibility gate reports</x:v>
      </x:c>
      <x:c r="H176" s="12" t="str">
        <x:v>Not Started</x:v>
      </x:c>
      <x:c r="I176" s="12" t="str">
        <x:v>Medium</x:v>
      </x:c>
      <x:c r="J176" s="12" t="str">
        <x:v>04.08;20.01</x:v>
      </x:c>
      <x:c r="K176" s="12" t="str"/>
      <x:c r="L176" s="12" t="str"/>
      <x:c r="M176" s="12" t="str">
        <x:v>Planned / not evidenced</x:v>
      </x:c>
      <x:c r="N176" s="12" t="str"/>
      <x:c r="O176" s="12" t="str"/>
    </x:row>
    <x:row r="177" ht="47" customHeight="1">
      <x:c r="A177" s="12" t="str">
        <x:v>20.07</x:v>
      </x:c>
      <x:c r="B177" s="12" t="n">
        <x:v>20</x:v>
      </x:c>
      <x:c r="C177" s="12" t="str">
        <x:v>Ongoing research management and quality</x:v>
      </x:c>
      <x:c r="D177" s="12" t="str">
        <x:v>Management</x:v>
      </x:c>
      <x:c r="E177" s="12" t="str">
        <x:v>Document AI assistance and research integrity</x:v>
      </x:c>
      <x:c r="F177" s="12" t="str">
        <x:v>Record LLM use in coding/writing/annotation, human validation, data handling and disclosure policy.</x:v>
      </x:c>
      <x:c r="G177" s="12" t="str">
        <x:v>AI-use and integrity statement</x:v>
      </x:c>
      <x:c r="H177" s="12" t="str">
        <x:v>Not Started</x:v>
      </x:c>
      <x:c r="I177" s="12" t="str">
        <x:v>Medium</x:v>
      </x:c>
      <x:c r="J177" s="12" t="str">
        <x:v>20.01</x:v>
      </x:c>
      <x:c r="K177" s="12" t="str"/>
      <x:c r="L177" s="12" t="str"/>
      <x:c r="M177" s="12" t="str">
        <x:v>Planned / not evidenced</x:v>
      </x:c>
      <x:c r="N177" s="12" t="str"/>
      <x:c r="O177" s="12" t="str"/>
    </x:row>
    <x:row r="178" ht="47" customHeight="1">
      <x:c r="A178" s="12" t="str">
        <x:v>20.08</x:v>
      </x:c>
      <x:c r="B178" s="12" t="n">
        <x:v>20</x:v>
      </x:c>
      <x:c r="C178" s="12" t="str">
        <x:v>Ongoing research management and quality</x:v>
      </x:c>
      <x:c r="D178" s="12" t="str">
        <x:v>Management</x:v>
      </x:c>
      <x:c r="E178" s="12" t="str">
        <x:v>Close project and hand off artifacts</x:v>
      </x:c>
      <x:c r="F178" s="12" t="str">
        <x:v>Document final maintenance, access revocation, preservation, future research and repository ownership.</x:v>
      </x:c>
      <x:c r="G178" s="12" t="str">
        <x:v>Project closeout and handover package</x:v>
      </x:c>
      <x:c r="H178" s="12" t="str">
        <x:v>Not Started</x:v>
      </x:c>
      <x:c r="I178" s="12" t="str">
        <x:v>Medium</x:v>
      </x:c>
      <x:c r="J178" s="12" t="str">
        <x:v>19.09</x:v>
      </x:c>
      <x:c r="K178" s="12" t="str"/>
      <x:c r="L178" s="12" t="str"/>
      <x:c r="M178" s="12" t="str">
        <x:v>Planned / not evidenced</x:v>
      </x:c>
      <x:c r="N178" s="12" t="str"/>
      <x:c r="O178" s="12" t="str"/>
    </x:row>
  </x:sheetData>
  <x:conditionalFormatting sqref="H2:H178">
    <x:cfRule type="expression" dxfId="0" priority="1">
      <x:formula>$H2="Completed (Artifact)"</x:formula>
    </x:cfRule>
    <x:cfRule type="expression" dxfId="1" priority="2">
      <x:formula>$H2="Completed (Analysis)"</x:formula>
    </x:cfRule>
    <x:cfRule type="expression" dxfId="2" priority="3">
      <x:formula>$H2="Completed (Verified)"</x:formula>
    </x:cfRule>
    <x:cfRule type="expression" dxfId="3" priority="4">
      <x:formula>$H2="In Progress"</x:formula>
    </x:cfRule>
    <x:cfRule type="expression" dxfId="4" priority="5">
      <x:formula>$H2="Implemented—Verify"</x:formula>
    </x:cfRule>
    <x:cfRule type="expression" dxfId="5" priority="6">
      <x:formula>$H2="Needs Verification"</x:formula>
    </x:cfRule>
    <x:cfRule type="expression" dxfId="6" priority="7">
      <x:formula>$H2="Blocked"</x:formula>
    </x:cfRule>
  </x:conditionalFormatting>
  <x:dataValidations count="2">
    <x:dataValidation type="list" sqref="H2:H178">
      <x:formula1>"Not Started,In Progress,Implemented—Verify,Needs Verification,Completed (Artifact),Completed (Analysis),Completed (Verified),Blocked,Deferred"</x:formula1>
    </x:dataValidation>
    <x:dataValidation type="list" sqref="I2:I17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ee31d035c5439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8" hidden="0" customWidth="1"/>
    <x:col min="4" max="4" width="13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4" hidden="0" customWidth="1"/>
    <x:col min="10" max="10" width="12" hidden="0" customWidth="1"/>
    <x:col min="11" max="11" width="16" hidden="0" customWidth="1"/>
    <x:col min="12" max="12" width="24" hidden="0" customWidth="1"/>
    <x:col min="13" max="13" width="55" hidden="0" customWidth="1"/>
  </x:cols>
  <x:sheetData>
    <x:row r="1" ht="35" customHeight="1">
      <x:c r="A1" s="18" t="str">
        <x:v>Phase #</x:v>
      </x:c>
      <x:c r="B1" s="18" t="str">
        <x:v>Phase / milestone</x:v>
      </x:c>
      <x:c r="C1" s="18" t="str">
        <x:v>Workstream</x:v>
      </x:c>
      <x:c r="D1" s="18" t="str">
        <x:v>Total tasks</x:v>
      </x:c>
      <x:c r="E1" s="18" t="str">
        <x:v>Completed</x:v>
      </x:c>
      <x:c r="F1" s="18" t="str">
        <x:v>In progress</x:v>
      </x:c>
      <x:c r="G1" s="18" t="str">
        <x:v>Implemented / verify</x:v>
      </x:c>
      <x:c r="H1" s="18" t="str">
        <x:v>Needs verification</x:v>
      </x:c>
      <x:c r="I1" s="18" t="str">
        <x:v>Not started</x:v>
      </x:c>
      <x:c r="J1" s="18" t="str">
        <x:v>Blocked</x:v>
      </x:c>
      <x:c r="K1" s="18" t="str">
        <x:v>Completion %</x:v>
      </x:c>
      <x:c r="L1" s="18" t="str">
        <x:v>Phase entry dependency</x:v>
      </x:c>
      <x:c r="M1" s="18" t="str">
        <x:v>Phase exit / gate</x:v>
      </x:c>
    </x:row>
    <x:row r="2" ht="46" customHeight="1">
      <x:c r="A2" s="10" t="n">
        <x:v>1</x:v>
      </x:c>
      <x:c r="B2" s="10" t="str">
        <x:v>Research governance and approval</x:v>
      </x:c>
      <x:c r="C2" s="10" t="str">
        <x:v>Governance</x:v>
      </x:c>
      <x:c r="D2" s="10" t="n">
        <x:f>COUNTIF('Master Checklist'!$B$2:$B$178,A2)</x:f>
        <x:v>9</x:v>
      </x:c>
      <x:c r="E2" s="10" t="n">
        <x:f>COUNTIFS('Master Checklist'!$B$2:$B$178,A2,'Master Checklist'!$H$2:$H$178,"Completed*")</x:f>
        <x:v>0</x:v>
      </x:c>
      <x:c r="F2" s="10" t="n">
        <x:f>COUNTIFS('Master Checklist'!$B$2:$B$178,A2,'Master Checklist'!$H$2:$H$178,"In Progress")</x:f>
        <x:v>3</x:v>
      </x:c>
      <x:c r="G2" s="10" t="n">
        <x:f>COUNTIFS('Master Checklist'!$B$2:$B$178,A2,'Master Checklist'!$H$2:$H$178,"Implemented—Verify")</x:f>
        <x:v>0</x:v>
      </x:c>
      <x:c r="H2" s="10" t="n">
        <x:f>COUNTIFS('Master Checklist'!$B$2:$B$178,A2,'Master Checklist'!$H$2:$H$178,"Needs Verification")</x:f>
        <x:v>3</x:v>
      </x:c>
      <x:c r="I2" s="10" t="n">
        <x:f>COUNTIFS('Master Checklist'!$B$2:$B$178,A2,'Master Checklist'!$H$2:$H$178,"Not Started")</x:f>
        <x:v>2</x:v>
      </x:c>
      <x:c r="J2" s="10" t="n">
        <x:f>COUNTIFS('Master Checklist'!$B$2:$B$178,A2,'Master Checklist'!$H$2:$H$178,"Blocked")</x:f>
        <x:v>0</x:v>
      </x:c>
      <x:c r="K2" s="22" t="n">
        <x:f>IFERROR(E2/D2,0)</x:f>
        <x:v>0</x:v>
      </x:c>
      <x:c r="L2" s="10" t="str"/>
      <x:c r="M2" s="10" t="str">
        <x:v>Research change log</x:v>
      </x:c>
    </x:row>
    <x:row r="3" ht="46" customHeight="1">
      <x:c r="A3" s="10" t="n">
        <x:v>2</x:v>
      </x:c>
      <x:c r="B3" s="10" t="str">
        <x:v>Prior art, novelty and theory</x:v>
      </x:c>
      <x:c r="C3" s="10" t="str">
        <x:v>Literature</x:v>
      </x:c>
      <x:c r="D3" s="10" t="n">
        <x:f>COUNTIF('Master Checklist'!$B$2:$B$178,A3)</x:f>
        <x:v>10</x:v>
      </x:c>
      <x:c r="E3" s="10" t="n">
        <x:f>COUNTIFS('Master Checklist'!$B$2:$B$178,A3,'Master Checklist'!$H$2:$H$178,"Completed*")</x:f>
        <x:v>0</x:v>
      </x:c>
      <x:c r="F3" s="10" t="n">
        <x:f>COUNTIFS('Master Checklist'!$B$2:$B$178,A3,'Master Checklist'!$H$2:$H$178,"In Progress")</x:f>
        <x:v>7</x:v>
      </x:c>
      <x:c r="G3" s="10" t="n">
        <x:f>COUNTIFS('Master Checklist'!$B$2:$B$178,A3,'Master Checklist'!$H$2:$H$178,"Implemented—Verify")</x:f>
        <x:v>0</x:v>
      </x:c>
      <x:c r="H3" s="10" t="n">
        <x:f>COUNTIFS('Master Checklist'!$B$2:$B$178,A3,'Master Checklist'!$H$2:$H$178,"Needs Verification")</x:f>
        <x:v>0</x:v>
      </x:c>
      <x:c r="I3" s="10" t="n">
        <x:f>COUNTIFS('Master Checklist'!$B$2:$B$178,A3,'Master Checklist'!$H$2:$H$178,"Not Started")</x:f>
        <x:v>2</x:v>
      </x:c>
      <x:c r="J3" s="10" t="n">
        <x:f>COUNTIFS('Master Checklist'!$B$2:$B$178,A3,'Master Checklist'!$H$2:$H$178,"Blocked")</x:f>
        <x:v>0</x:v>
      </x:c>
      <x:c r="K3" s="22" t="n">
        <x:f>IFERROR(E3/D3,0)</x:f>
        <x:v>0</x:v>
      </x:c>
      <x:c r="L3" s="10" t="str">
        <x:v>01.03</x:v>
      </x:c>
      <x:c r="M3" s="10" t="str">
        <x:v>Versioned literature review dataset</x:v>
      </x:c>
    </x:row>
    <x:row r="4" ht="46" customHeight="1">
      <x:c r="A4" s="10" t="n">
        <x:v>3</x:v>
      </x:c>
      <x:c r="B4" s="10" t="str">
        <x:v>Research questions, hypotheses and measurement</x:v>
      </x:c>
      <x:c r="C4" s="10" t="str">
        <x:v>Methodology</x:v>
      </x:c>
      <x:c r="D4" s="10" t="n">
        <x:f>COUNTIF('Master Checklist'!$B$2:$B$178,A4)</x:f>
        <x:v>9</x:v>
      </x:c>
      <x:c r="E4" s="10" t="n">
        <x:f>COUNTIFS('Master Checklist'!$B$2:$B$178,A4,'Master Checklist'!$H$2:$H$178,"Completed*")</x:f>
        <x:v>0</x:v>
      </x:c>
      <x:c r="F4" s="10" t="n">
        <x:f>COUNTIFS('Master Checklist'!$B$2:$B$178,A4,'Master Checklist'!$H$2:$H$178,"In Progress")</x:f>
        <x:v>2</x:v>
      </x:c>
      <x:c r="G4" s="10" t="n">
        <x:f>COUNTIFS('Master Checklist'!$B$2:$B$178,A4,'Master Checklist'!$H$2:$H$178,"Implemented—Verify")</x:f>
        <x:v>0</x:v>
      </x:c>
      <x:c r="H4" s="10" t="n">
        <x:f>COUNTIFS('Master Checklist'!$B$2:$B$178,A4,'Master Checklist'!$H$2:$H$178,"Needs Verification")</x:f>
        <x:v>0</x:v>
      </x:c>
      <x:c r="I4" s="10" t="n">
        <x:f>COUNTIFS('Master Checklist'!$B$2:$B$178,A4,'Master Checklist'!$H$2:$H$178,"Not Started")</x:f>
        <x:v>7</x:v>
      </x:c>
      <x:c r="J4" s="10" t="n">
        <x:f>COUNTIFS('Master Checklist'!$B$2:$B$178,A4,'Master Checklist'!$H$2:$H$178,"Blocked")</x:f>
        <x:v>0</x:v>
      </x:c>
      <x:c r="K4" s="22" t="n">
        <x:f>IFERROR(E4/D4,0)</x:f>
        <x:v>0</x:v>
      </x:c>
      <x:c r="L4" s="10" t="str">
        <x:v>01.08;02.08</x:v>
      </x:c>
      <x:c r="M4" s="10" t="str">
        <x:v>Stage-gate acceptance checklist</x:v>
      </x:c>
    </x:row>
    <x:row r="5" ht="46" customHeight="1">
      <x:c r="A5" s="10" t="n">
        <x:v>4</x:v>
      </x:c>
      <x:c r="B5" s="10" t="str">
        <x:v>Repository, infrastructure and reproducibility</x:v>
      </x:c>
      <x:c r="C5" s="10" t="str">
        <x:v>Engineering</x:v>
      </x:c>
      <x:c r="D5" s="10" t="n">
        <x:f>COUNTIF('Master Checklist'!$B$2:$B$178,A5)</x:f>
        <x:v>9</x:v>
      </x:c>
      <x:c r="E5" s="10" t="n">
        <x:f>COUNTIFS('Master Checklist'!$B$2:$B$178,A5,'Master Checklist'!$H$2:$H$178,"Completed*")</x:f>
        <x:v>0</x:v>
      </x:c>
      <x:c r="F5" s="10" t="n">
        <x:f>COUNTIFS('Master Checklist'!$B$2:$B$178,A5,'Master Checklist'!$H$2:$H$178,"In Progress")</x:f>
        <x:v>3</x:v>
      </x:c>
      <x:c r="G5" s="10" t="n">
        <x:f>COUNTIFS('Master Checklist'!$B$2:$B$178,A5,'Master Checklist'!$H$2:$H$178,"Implemented—Verify")</x:f>
        <x:v>0</x:v>
      </x:c>
      <x:c r="H5" s="10" t="n">
        <x:f>COUNTIFS('Master Checklist'!$B$2:$B$178,A5,'Master Checklist'!$H$2:$H$178,"Needs Verification")</x:f>
        <x:v>0</x:v>
      </x:c>
      <x:c r="I5" s="10" t="n">
        <x:f>COUNTIFS('Master Checklist'!$B$2:$B$178,A5,'Master Checklist'!$H$2:$H$178,"Not Started")</x:f>
        <x:v>6</x:v>
      </x:c>
      <x:c r="J5" s="10" t="n">
        <x:f>COUNTIFS('Master Checklist'!$B$2:$B$178,A5,'Master Checklist'!$H$2:$H$178,"Blocked")</x:f>
        <x:v>0</x:v>
      </x:c>
      <x:c r="K5" s="22" t="n">
        <x:f>IFERROR(E5/D5,0)</x:f>
        <x:v>0</x:v>
      </x:c>
      <x:c r="L5" s="10" t="str">
        <x:v>01.01</x:v>
      </x:c>
      <x:c r="M5" s="10" t="str">
        <x:v>Machine-readable run manifest</x:v>
      </x:c>
    </x:row>
    <x:row r="6" ht="46" customHeight="1">
      <x:c r="A6" s="10" t="n">
        <x:v>5</x:v>
      </x:c>
      <x:c r="B6" s="10" t="str">
        <x:v>SafetyRAG core platform completion</x:v>
      </x:c>
      <x:c r="C6" s="10" t="str">
        <x:v>Engineering</x:v>
      </x:c>
      <x:c r="D6" s="10" t="n">
        <x:f>COUNTIF('Master Checklist'!$B$2:$B$178,A6)</x:f>
        <x:v>10</x:v>
      </x:c>
      <x:c r="E6" s="10" t="n">
        <x:f>COUNTIFS('Master Checklist'!$B$2:$B$178,A6,'Master Checklist'!$H$2:$H$178,"Completed*")</x:f>
        <x:v>0</x:v>
      </x:c>
      <x:c r="F6" s="10" t="n">
        <x:f>COUNTIFS('Master Checklist'!$B$2:$B$178,A6,'Master Checklist'!$H$2:$H$178,"In Progress")</x:f>
        <x:v>0</x:v>
      </x:c>
      <x:c r="G6" s="10" t="n">
        <x:f>COUNTIFS('Master Checklist'!$B$2:$B$178,A6,'Master Checklist'!$H$2:$H$178,"Implemented—Verify")</x:f>
        <x:v>7</x:v>
      </x:c>
      <x:c r="H6" s="10" t="n">
        <x:f>COUNTIFS('Master Checklist'!$B$2:$B$178,A6,'Master Checklist'!$H$2:$H$178,"Needs Verification")</x:f>
        <x:v>0</x:v>
      </x:c>
      <x:c r="I6" s="10" t="n">
        <x:f>COUNTIFS('Master Checklist'!$B$2:$B$178,A6,'Master Checklist'!$H$2:$H$178,"Not Started")</x:f>
        <x:v>3</x:v>
      </x:c>
      <x:c r="J6" s="10" t="n">
        <x:f>COUNTIFS('Master Checklist'!$B$2:$B$178,A6,'Master Checklist'!$H$2:$H$178,"Blocked")</x:f>
        <x:v>0</x:v>
      </x:c>
      <x:c r="K6" s="22" t="n">
        <x:f>IFERROR(E6/D6,0)</x:f>
        <x:v>0</x:v>
      </x:c>
      <x:c r="L6" s="10" t="str">
        <x:v>04.03;04.05</x:v>
      </x:c>
      <x:c r="M6" s="10" t="str">
        <x:v>End-to-end acceptance report and demo</x:v>
      </x:c>
    </x:row>
    <x:row r="7" ht="46" customHeight="1">
      <x:c r="A7" s="10" t="n">
        <x:v>6</x:v>
      </x:c>
      <x:c r="B7" s="10" t="str">
        <x:v>Formal evidence model and guarantees</x:v>
      </x:c>
      <x:c r="C7" s="10" t="str">
        <x:v>Architecture</x:v>
      </x:c>
      <x:c r="D7" s="10" t="n">
        <x:f>COUNTIF('Master Checklist'!$B$2:$B$178,A7)</x:f>
        <x:v>8</x:v>
      </x:c>
      <x:c r="E7" s="10" t="n">
        <x:f>COUNTIFS('Master Checklist'!$B$2:$B$178,A7,'Master Checklist'!$H$2:$H$178,"Completed*")</x:f>
        <x:v>0</x:v>
      </x:c>
      <x:c r="F7" s="10" t="n">
        <x:f>COUNTIFS('Master Checklist'!$B$2:$B$178,A7,'Master Checklist'!$H$2:$H$178,"In Progress")</x:f>
        <x:v>5</x:v>
      </x:c>
      <x:c r="G7" s="10" t="n">
        <x:f>COUNTIFS('Master Checklist'!$B$2:$B$178,A7,'Master Checklist'!$H$2:$H$178,"Implemented—Verify")</x:f>
        <x:v>0</x:v>
      </x:c>
      <x:c r="H7" s="10" t="n">
        <x:f>COUNTIFS('Master Checklist'!$B$2:$B$178,A7,'Master Checklist'!$H$2:$H$178,"Needs Verification")</x:f>
        <x:v>0</x:v>
      </x:c>
      <x:c r="I7" s="10" t="n">
        <x:f>COUNTIFS('Master Checklist'!$B$2:$B$178,A7,'Master Checklist'!$H$2:$H$178,"Not Started")</x:f>
        <x:v>3</x:v>
      </x:c>
      <x:c r="J7" s="10" t="n">
        <x:f>COUNTIFS('Master Checklist'!$B$2:$B$178,A7,'Master Checklist'!$H$2:$H$178,"Blocked")</x:f>
        <x:v>0</x:v>
      </x:c>
      <x:c r="K7" s="22" t="n">
        <x:f>IFERROR(E7/D7,0)</x:f>
        <x:v>0</x:v>
      </x:c>
      <x:c r="L7" s="10" t="str">
        <x:v>02.05;05.05</x:v>
      </x:c>
      <x:c r="M7" s="10" t="str">
        <x:v>Architecture assurance and limitations section</x:v>
      </x:c>
    </x:row>
    <x:row r="8" ht="46" customHeight="1">
      <x:c r="A8" s="10" t="n">
        <x:v>7</x:v>
      </x:c>
      <x:c r="B8" s="10" t="str">
        <x:v>Retrieval, verification and AI pipeline</x:v>
      </x:c>
      <x:c r="C8" s="10" t="str">
        <x:v>Engineering</x:v>
      </x:c>
      <x:c r="D8" s="10" t="n">
        <x:f>COUNTIF('Master Checklist'!$B$2:$B$178,A8)</x:f>
        <x:v>9</x:v>
      </x:c>
      <x:c r="E8" s="10" t="n">
        <x:f>COUNTIFS('Master Checklist'!$B$2:$B$178,A8,'Master Checklist'!$H$2:$H$178,"Completed*")</x:f>
        <x:v>0</x:v>
      </x:c>
      <x:c r="F8" s="10" t="n">
        <x:f>COUNTIFS('Master Checklist'!$B$2:$B$178,A8,'Master Checklist'!$H$2:$H$178,"In Progress")</x:f>
        <x:v>0</x:v>
      </x:c>
      <x:c r="G8" s="10" t="n">
        <x:f>COUNTIFS('Master Checklist'!$B$2:$B$178,A8,'Master Checklist'!$H$2:$H$178,"Implemented—Verify")</x:f>
        <x:v>0</x:v>
      </x:c>
      <x:c r="H8" s="10" t="n">
        <x:f>COUNTIFS('Master Checklist'!$B$2:$B$178,A8,'Master Checklist'!$H$2:$H$178,"Needs Verification")</x:f>
        <x:v>0</x:v>
      </x:c>
      <x:c r="I8" s="10" t="n">
        <x:f>COUNTIFS('Master Checklist'!$B$2:$B$178,A8,'Master Checklist'!$H$2:$H$178,"Not Started")</x:f>
        <x:v>9</x:v>
      </x:c>
      <x:c r="J8" s="10" t="n">
        <x:f>COUNTIFS('Master Checklist'!$B$2:$B$178,A8,'Master Checklist'!$H$2:$H$178,"Blocked")</x:f>
        <x:v>0</x:v>
      </x:c>
      <x:c r="K8" s="22" t="n">
        <x:f>IFERROR(E8/D8,0)</x:f>
        <x:v>0</x:v>
      </x:c>
      <x:c r="L8" s="10" t="str">
        <x:v>05.03;04.09</x:v>
      </x:c>
      <x:c r="M8" s="10" t="str">
        <x:v>Latency/cost performance profile</x:v>
      </x:c>
    </x:row>
    <x:row r="9" ht="46" customHeight="1">
      <x:c r="A9" s="10" t="n">
        <x:v>8</x:v>
      </x:c>
      <x:c r="B9" s="10" t="str">
        <x:v>MCAS source corpus and evidence integrity</x:v>
      </x:c>
      <x:c r="C9" s="10" t="str">
        <x:v>Case Study</x:v>
      </x:c>
      <x:c r="D9" s="10" t="n">
        <x:f>COUNTIF('Master Checklist'!$B$2:$B$178,A9)</x:f>
        <x:v>9</x:v>
      </x:c>
      <x:c r="E9" s="10" t="n">
        <x:f>COUNTIFS('Master Checklist'!$B$2:$B$178,A9,'Master Checklist'!$H$2:$H$178,"Completed*")</x:f>
        <x:v>0</x:v>
      </x:c>
      <x:c r="F9" s="10" t="n">
        <x:f>COUNTIFS('Master Checklist'!$B$2:$B$178,A9,'Master Checklist'!$H$2:$H$178,"In Progress")</x:f>
        <x:v>5</x:v>
      </x:c>
      <x:c r="G9" s="10" t="n">
        <x:f>COUNTIFS('Master Checklist'!$B$2:$B$178,A9,'Master Checklist'!$H$2:$H$178,"Implemented—Verify")</x:f>
        <x:v>0</x:v>
      </x:c>
      <x:c r="H9" s="10" t="n">
        <x:f>COUNTIFS('Master Checklist'!$B$2:$B$178,A9,'Master Checklist'!$H$2:$H$178,"Needs Verification")</x:f>
        <x:v>0</x:v>
      </x:c>
      <x:c r="I9" s="10" t="n">
        <x:f>COUNTIFS('Master Checklist'!$B$2:$B$178,A9,'Master Checklist'!$H$2:$H$178,"Not Started")</x:f>
        <x:v>4</x:v>
      </x:c>
      <x:c r="J9" s="10" t="n">
        <x:f>COUNTIFS('Master Checklist'!$B$2:$B$178,A9,'Master Checklist'!$H$2:$H$178,"Blocked")</x:f>
        <x:v>0</x:v>
      </x:c>
      <x:c r="K9" s="22" t="n">
        <x:f>IFERROR(E9/D9,0)</x:f>
        <x:v>0</x:v>
      </x:c>
      <x:c r="L9" s="10" t="str">
        <x:v>03.01</x:v>
      </x:c>
      <x:c r="M9" s="10" t="str">
        <x:v>Adjudicated MCAS evidence baseline</x:v>
      </x:c>
    </x:row>
    <x:row r="10" ht="46" customHeight="1">
      <x:c r="A10" s="10" t="n">
        <x:v>9</x:v>
      </x:c>
      <x:c r="B10" s="10" t="str">
        <x:v>MCAS simulator and fault-injection platform</x:v>
      </x:c>
      <x:c r="C10" s="10" t="str">
        <x:v>Case Study</x:v>
      </x:c>
      <x:c r="D10" s="10" t="n">
        <x:f>COUNTIF('Master Checklist'!$B$2:$B$178,A10)</x:f>
        <x:v>9</x:v>
      </x:c>
      <x:c r="E10" s="10" t="n">
        <x:f>COUNTIFS('Master Checklist'!$B$2:$B$178,A10,'Master Checklist'!$H$2:$H$178,"Completed*")</x:f>
        <x:v>0</x:v>
      </x:c>
      <x:c r="F10" s="10" t="n">
        <x:f>COUNTIFS('Master Checklist'!$B$2:$B$178,A10,'Master Checklist'!$H$2:$H$178,"In Progress")</x:f>
        <x:v>3</x:v>
      </x:c>
      <x:c r="G10" s="10" t="n">
        <x:f>COUNTIFS('Master Checklist'!$B$2:$B$178,A10,'Master Checklist'!$H$2:$H$178,"Implemented—Verify")</x:f>
        <x:v>3</x:v>
      </x:c>
      <x:c r="H10" s="10" t="n">
        <x:f>COUNTIFS('Master Checklist'!$B$2:$B$178,A10,'Master Checklist'!$H$2:$H$178,"Needs Verification")</x:f>
        <x:v>0</x:v>
      </x:c>
      <x:c r="I10" s="10" t="n">
        <x:f>COUNTIFS('Master Checklist'!$B$2:$B$178,A10,'Master Checklist'!$H$2:$H$178,"Not Started")</x:f>
        <x:v>3</x:v>
      </x:c>
      <x:c r="J10" s="10" t="n">
        <x:f>COUNTIFS('Master Checklist'!$B$2:$B$178,A10,'Master Checklist'!$H$2:$H$178,"Blocked")</x:f>
        <x:v>0</x:v>
      </x:c>
      <x:c r="K10" s="22" t="n">
        <x:f>IFERROR(E10/D10,0)</x:f>
        <x:v>0</x:v>
      </x:c>
      <x:c r="L10" s="10" t="str">
        <x:v>04.02;08.01</x:v>
      </x:c>
      <x:c r="M10" s="10" t="str">
        <x:v>Corrective-action scenario results</x:v>
      </x:c>
    </x:row>
    <x:row r="11" ht="46" customHeight="1">
      <x:c r="A11" s="10" t="n">
        <x:v>10</x:v>
      </x:c>
      <x:c r="B11" s="10" t="str">
        <x:v>MCAS-to-SafetyRAG integration</x:v>
      </x:c>
      <x:c r="C11" s="10" t="str">
        <x:v>Integration</x:v>
      </x:c>
      <x:c r="D11" s="10" t="n">
        <x:f>COUNTIF('Master Checklist'!$B$2:$B$178,A11)</x:f>
        <x:v>7</x:v>
      </x:c>
      <x:c r="E11" s="10" t="n">
        <x:f>COUNTIFS('Master Checklist'!$B$2:$B$178,A11,'Master Checklist'!$H$2:$H$178,"Completed*")</x:f>
        <x:v>0</x:v>
      </x:c>
      <x:c r="F11" s="10" t="n">
        <x:f>COUNTIFS('Master Checklist'!$B$2:$B$178,A11,'Master Checklist'!$H$2:$H$178,"In Progress")</x:f>
        <x:v>1</x:v>
      </x:c>
      <x:c r="G11" s="10" t="n">
        <x:f>COUNTIFS('Master Checklist'!$B$2:$B$178,A11,'Master Checklist'!$H$2:$H$178,"Implemented—Verify")</x:f>
        <x:v>0</x:v>
      </x:c>
      <x:c r="H11" s="10" t="n">
        <x:f>COUNTIFS('Master Checklist'!$B$2:$B$178,A11,'Master Checklist'!$H$2:$H$178,"Needs Verification")</x:f>
        <x:v>0</x:v>
      </x:c>
      <x:c r="I11" s="10" t="n">
        <x:f>COUNTIFS('Master Checklist'!$B$2:$B$178,A11,'Master Checklist'!$H$2:$H$178,"Not Started")</x:f>
        <x:v>6</x:v>
      </x:c>
      <x:c r="J11" s="10" t="n">
        <x:f>COUNTIFS('Master Checklist'!$B$2:$B$178,A11,'Master Checklist'!$H$2:$H$178,"Blocked")</x:f>
        <x:v>0</x:v>
      </x:c>
      <x:c r="K11" s="22" t="n">
        <x:f>IFERROR(E11/D11,0)</x:f>
        <x:v>0</x:v>
      </x:c>
      <x:c r="L11" s="10" t="str">
        <x:v>08.08;09.08</x:v>
      </x:c>
      <x:c r="M11" s="10" t="str">
        <x:v>MCAS/SafetyRAG reproducible release</x:v>
      </x:c>
    </x:row>
    <x:row r="12" ht="46" customHeight="1">
      <x:c r="A12" s="10" t="n">
        <x:v>11</x:v>
      </x:c>
      <x:c r="B12" s="10" t="str">
        <x:v>Gold standards and benchmark construction</x:v>
      </x:c>
      <x:c r="C12" s="10" t="str">
        <x:v>Evaluation</x:v>
      </x:c>
      <x:c r="D12" s="10" t="n">
        <x:f>COUNTIF('Master Checklist'!$B$2:$B$178,A12)</x:f>
        <x:v>8</x:v>
      </x:c>
      <x:c r="E12" s="10" t="n">
        <x:f>COUNTIFS('Master Checklist'!$B$2:$B$178,A12,'Master Checklist'!$H$2:$H$178,"Completed*")</x:f>
        <x:v>0</x:v>
      </x:c>
      <x:c r="F12" s="10" t="n">
        <x:f>COUNTIFS('Master Checklist'!$B$2:$B$178,A12,'Master Checklist'!$H$2:$H$178,"In Progress")</x:f>
        <x:v>0</x:v>
      </x:c>
      <x:c r="G12" s="10" t="n">
        <x:f>COUNTIFS('Master Checklist'!$B$2:$B$178,A12,'Master Checklist'!$H$2:$H$178,"Implemented—Verify")</x:f>
        <x:v>0</x:v>
      </x:c>
      <x:c r="H12" s="10" t="n">
        <x:f>COUNTIFS('Master Checklist'!$B$2:$B$178,A12,'Master Checklist'!$H$2:$H$178,"Needs Verification")</x:f>
        <x:v>0</x:v>
      </x:c>
      <x:c r="I12" s="10" t="n">
        <x:f>COUNTIFS('Master Checklist'!$B$2:$B$178,A12,'Master Checklist'!$H$2:$H$178,"Not Started")</x:f>
        <x:v>8</x:v>
      </x:c>
      <x:c r="J12" s="10" t="n">
        <x:f>COUNTIFS('Master Checklist'!$B$2:$B$178,A12,'Master Checklist'!$H$2:$H$178,"Blocked")</x:f>
        <x:v>0</x:v>
      </x:c>
      <x:c r="K12" s="22" t="n">
        <x:f>IFERROR(E12/D12,0)</x:f>
        <x:v>0</x:v>
      </x:c>
      <x:c r="L12" s="10" t="str">
        <x:v>03.02;08.06</x:v>
      </x:c>
      <x:c r="M12" s="10" t="str">
        <x:v>Dataset card and sharing plan</x:v>
      </x:c>
    </x:row>
    <x:row r="13" ht="46" customHeight="1">
      <x:c r="A13" s="10" t="n">
        <x:v>12</x:v>
      </x:c>
      <x:c r="B13" s="10" t="str">
        <x:v>System evaluation and ablation experiments</x:v>
      </x:c>
      <x:c r="C13" s="10" t="str">
        <x:v>Evaluation</x:v>
      </x:c>
      <x:c r="D13" s="10" t="n">
        <x:f>COUNTIF('Master Checklist'!$B$2:$B$178,A13)</x:f>
        <x:v>9</x:v>
      </x:c>
      <x:c r="E13" s="10" t="n">
        <x:f>COUNTIFS('Master Checklist'!$B$2:$B$178,A13,'Master Checklist'!$H$2:$H$178,"Completed*")</x:f>
        <x:v>0</x:v>
      </x:c>
      <x:c r="F13" s="10" t="n">
        <x:f>COUNTIFS('Master Checklist'!$B$2:$B$178,A13,'Master Checklist'!$H$2:$H$178,"In Progress")</x:f>
        <x:v>0</x:v>
      </x:c>
      <x:c r="G13" s="10" t="n">
        <x:f>COUNTIFS('Master Checklist'!$B$2:$B$178,A13,'Master Checklist'!$H$2:$H$178,"Implemented—Verify")</x:f>
        <x:v>0</x:v>
      </x:c>
      <x:c r="H13" s="10" t="n">
        <x:f>COUNTIFS('Master Checklist'!$B$2:$B$178,A13,'Master Checklist'!$H$2:$H$178,"Needs Verification")</x:f>
        <x:v>0</x:v>
      </x:c>
      <x:c r="I13" s="10" t="n">
        <x:f>COUNTIFS('Master Checklist'!$B$2:$B$178,A13,'Master Checklist'!$H$2:$H$178,"Not Started")</x:f>
        <x:v>9</x:v>
      </x:c>
      <x:c r="J13" s="10" t="n">
        <x:f>COUNTIFS('Master Checklist'!$B$2:$B$178,A13,'Master Checklist'!$H$2:$H$178,"Blocked")</x:f>
        <x:v>0</x:v>
      </x:c>
      <x:c r="K13" s="22" t="n">
        <x:f>IFERROR(E13/D13,0)</x:f>
        <x:v>0</x:v>
      </x:c>
      <x:c r="L13" s="10" t="str">
        <x:v>11.07;07.09</x:v>
      </x:c>
      <x:c r="M13" s="10" t="str">
        <x:v>Reproducible evaluation bundle</x:v>
      </x:c>
    </x:row>
    <x:row r="14" ht="46" customHeight="1">
      <x:c r="A14" s="10" t="n">
        <x:v>13</x:v>
      </x:c>
      <x:c r="B14" s="10" t="str">
        <x:v>Secondary case and generalization</x:v>
      </x:c>
      <x:c r="C14" s="10" t="str">
        <x:v>Evaluation</x:v>
      </x:c>
      <x:c r="D14" s="10" t="n">
        <x:f>COUNTIF('Master Checklist'!$B$2:$B$178,A14)</x:f>
        <x:v>5</x:v>
      </x:c>
      <x:c r="E14" s="10" t="n">
        <x:f>COUNTIFS('Master Checklist'!$B$2:$B$178,A14,'Master Checklist'!$H$2:$H$178,"Completed*")</x:f>
        <x:v>0</x:v>
      </x:c>
      <x:c r="F14" s="10" t="n">
        <x:f>COUNTIFS('Master Checklist'!$B$2:$B$178,A14,'Master Checklist'!$H$2:$H$178,"In Progress")</x:f>
        <x:v>0</x:v>
      </x:c>
      <x:c r="G14" s="10" t="n">
        <x:f>COUNTIFS('Master Checklist'!$B$2:$B$178,A14,'Master Checklist'!$H$2:$H$178,"Implemented—Verify")</x:f>
        <x:v>0</x:v>
      </x:c>
      <x:c r="H14" s="10" t="n">
        <x:f>COUNTIFS('Master Checklist'!$B$2:$B$178,A14,'Master Checklist'!$H$2:$H$178,"Needs Verification")</x:f>
        <x:v>0</x:v>
      </x:c>
      <x:c r="I14" s="10" t="n">
        <x:f>COUNTIFS('Master Checklist'!$B$2:$B$178,A14,'Master Checklist'!$H$2:$H$178,"Not Started")</x:f>
        <x:v>5</x:v>
      </x:c>
      <x:c r="J14" s="10" t="n">
        <x:f>COUNTIFS('Master Checklist'!$B$2:$B$178,A14,'Master Checklist'!$H$2:$H$178,"Blocked")</x:f>
        <x:v>0</x:v>
      </x:c>
      <x:c r="K14" s="22" t="n">
        <x:f>IFERROR(E14/D14,0)</x:f>
        <x:v>0</x:v>
      </x:c>
      <x:c r="L14" s="10" t="str">
        <x:v>03.01;12.03</x:v>
      </x:c>
      <x:c r="M14" s="10" t="str">
        <x:v>Cross-case synthesis</x:v>
      </x:c>
    </x:row>
    <x:row r="15" ht="46" customHeight="1">
      <x:c r="A15" s="10" t="n">
        <x:v>14</x:v>
      </x:c>
      <x:c r="B15" s="10" t="str">
        <x:v>Human-subject study preparation</x:v>
      </x:c>
      <x:c r="C15" s="10" t="str">
        <x:v>Human Study</x:v>
      </x:c>
      <x:c r="D15" s="10" t="n">
        <x:f>COUNTIF('Master Checklist'!$B$2:$B$178,A15)</x:f>
        <x:v>8</x:v>
      </x:c>
      <x:c r="E15" s="10" t="n">
        <x:f>COUNTIFS('Master Checklist'!$B$2:$B$178,A15,'Master Checklist'!$H$2:$H$178,"Completed*")</x:f>
        <x:v>0</x:v>
      </x:c>
      <x:c r="F15" s="10" t="n">
        <x:f>COUNTIFS('Master Checklist'!$B$2:$B$178,A15,'Master Checklist'!$H$2:$H$178,"In Progress")</x:f>
        <x:v>0</x:v>
      </x:c>
      <x:c r="G15" s="10" t="n">
        <x:f>COUNTIFS('Master Checklist'!$B$2:$B$178,A15,'Master Checklist'!$H$2:$H$178,"Implemented—Verify")</x:f>
        <x:v>0</x:v>
      </x:c>
      <x:c r="H15" s="10" t="n">
        <x:f>COUNTIFS('Master Checklist'!$B$2:$B$178,A15,'Master Checklist'!$H$2:$H$178,"Needs Verification")</x:f>
        <x:v>0</x:v>
      </x:c>
      <x:c r="I15" s="10" t="n">
        <x:f>COUNTIFS('Master Checklist'!$B$2:$B$178,A15,'Master Checklist'!$H$2:$H$178,"Not Started")</x:f>
        <x:v>8</x:v>
      </x:c>
      <x:c r="J15" s="10" t="n">
        <x:f>COUNTIFS('Master Checklist'!$B$2:$B$178,A15,'Master Checklist'!$H$2:$H$178,"Blocked")</x:f>
        <x:v>0</x:v>
      </x:c>
      <x:c r="K15" s="22" t="n">
        <x:f>IFERROR(E15/D15,0)</x:f>
        <x:v>0</x:v>
      </x:c>
      <x:c r="L15" s="10" t="str">
        <x:v>11.04;12.06</x:v>
      </x:c>
      <x:c r="M15" s="10" t="str">
        <x:v>Locked study protocol and materials</x:v>
      </x:c>
    </x:row>
    <x:row r="16" ht="46" customHeight="1">
      <x:c r="A16" s="10" t="n">
        <x:v>15</x:v>
      </x:c>
      <x:c r="B16" s="10" t="str">
        <x:v>Human-subject execution and analysis</x:v>
      </x:c>
      <x:c r="C16" s="10" t="str">
        <x:v>Human Study</x:v>
      </x:c>
      <x:c r="D16" s="10" t="n">
        <x:f>COUNTIF('Master Checklist'!$B$2:$B$178,A16)</x:f>
        <x:v>6</x:v>
      </x:c>
      <x:c r="E16" s="10" t="n">
        <x:f>COUNTIFS('Master Checklist'!$B$2:$B$178,A16,'Master Checklist'!$H$2:$H$178,"Completed*")</x:f>
        <x:v>0</x:v>
      </x:c>
      <x:c r="F16" s="10" t="n">
        <x:f>COUNTIFS('Master Checklist'!$B$2:$B$178,A16,'Master Checklist'!$H$2:$H$178,"In Progress")</x:f>
        <x:v>0</x:v>
      </x:c>
      <x:c r="G16" s="10" t="n">
        <x:f>COUNTIFS('Master Checklist'!$B$2:$B$178,A16,'Master Checklist'!$H$2:$H$178,"Implemented—Verify")</x:f>
        <x:v>0</x:v>
      </x:c>
      <x:c r="H16" s="10" t="n">
        <x:f>COUNTIFS('Master Checklist'!$B$2:$B$178,A16,'Master Checklist'!$H$2:$H$178,"Needs Verification")</x:f>
        <x:v>0</x:v>
      </x:c>
      <x:c r="I16" s="10" t="n">
        <x:f>COUNTIFS('Master Checklist'!$B$2:$B$178,A16,'Master Checklist'!$H$2:$H$178,"Not Started")</x:f>
        <x:v>6</x:v>
      </x:c>
      <x:c r="J16" s="10" t="n">
        <x:f>COUNTIFS('Master Checklist'!$B$2:$B$178,A16,'Master Checklist'!$H$2:$H$178,"Blocked")</x:f>
        <x:v>0</x:v>
      </x:c>
      <x:c r="K16" s="22" t="n">
        <x:f>IFERROR(E16/D16,0)</x:f>
        <x:v>0</x:v>
      </x:c>
      <x:c r="L16" s="10" t="str">
        <x:v>14.08</x:v>
      </x:c>
      <x:c r="M16" s="10" t="str">
        <x:v>Human-study limitations and audit</x:v>
      </x:c>
    </x:row>
    <x:row r="17" ht="46" customHeight="1">
      <x:c r="A17" s="10" t="n">
        <x:v>16</x:v>
      </x:c>
      <x:c r="B17" s="10" t="str">
        <x:v>Architecture and design paper (EMSE)</x:v>
      </x:c>
      <x:c r="C17" s="10" t="str">
        <x:v>Publication</x:v>
      </x:c>
      <x:c r="D17" s="10" t="n">
        <x:f>COUNTIF('Master Checklist'!$B$2:$B$178,A17)</x:f>
        <x:v>13</x:v>
      </x:c>
      <x:c r="E17" s="10" t="n">
        <x:f>COUNTIFS('Master Checklist'!$B$2:$B$178,A17,'Master Checklist'!$H$2:$H$178,"Completed*")</x:f>
        <x:v>0</x:v>
      </x:c>
      <x:c r="F17" s="10" t="n">
        <x:f>COUNTIFS('Master Checklist'!$B$2:$B$178,A17,'Master Checklist'!$H$2:$H$178,"In Progress")</x:f>
        <x:v>4</x:v>
      </x:c>
      <x:c r="G17" s="10" t="n">
        <x:f>COUNTIFS('Master Checklist'!$B$2:$B$178,A17,'Master Checklist'!$H$2:$H$178,"Implemented—Verify")</x:f>
        <x:v>0</x:v>
      </x:c>
      <x:c r="H17" s="10" t="n">
        <x:f>COUNTIFS('Master Checklist'!$B$2:$B$178,A17,'Master Checklist'!$H$2:$H$178,"Needs Verification")</x:f>
        <x:v>0</x:v>
      </x:c>
      <x:c r="I17" s="10" t="n">
        <x:f>COUNTIFS('Master Checklist'!$B$2:$B$178,A17,'Master Checklist'!$H$2:$H$178,"Not Started")</x:f>
        <x:v>9</x:v>
      </x:c>
      <x:c r="J17" s="10" t="n">
        <x:f>COUNTIFS('Master Checklist'!$B$2:$B$178,A17,'Master Checklist'!$H$2:$H$178,"Blocked")</x:f>
        <x:v>0</x:v>
      </x:c>
      <x:c r="K17" s="22" t="n">
        <x:f>IFERROR(E17/D17,0)</x:f>
        <x:v>0</x:v>
      </x:c>
      <x:c r="L17" s="10" t="str">
        <x:v>02.08;06.08</x:v>
      </x:c>
      <x:c r="M17" s="10" t="str">
        <x:v>Accepted/published article and repository record</x:v>
      </x:c>
    </x:row>
    <x:row r="18" ht="46" customHeight="1">
      <x:c r="A18" s="10" t="n">
        <x:v>17</x:v>
      </x:c>
      <x:c r="B18" s="10" t="str">
        <x:v>Further research publications</x:v>
      </x:c>
      <x:c r="C18" s="10" t="str">
        <x:v>Publication</x:v>
      </x:c>
      <x:c r="D18" s="10" t="n">
        <x:f>COUNTIF('Master Checklist'!$B$2:$B$178,A18)</x:f>
        <x:v>9</x:v>
      </x:c>
      <x:c r="E18" s="10" t="n">
        <x:f>COUNTIFS('Master Checklist'!$B$2:$B$178,A18,'Master Checklist'!$H$2:$H$178,"Completed*")</x:f>
        <x:v>0</x:v>
      </x:c>
      <x:c r="F18" s="10" t="n">
        <x:f>COUNTIFS('Master Checklist'!$B$2:$B$178,A18,'Master Checklist'!$H$2:$H$178,"In Progress")</x:f>
        <x:v>1</x:v>
      </x:c>
      <x:c r="G18" s="10" t="n">
        <x:f>COUNTIFS('Master Checklist'!$B$2:$B$178,A18,'Master Checklist'!$H$2:$H$178,"Implemented—Verify")</x:f>
        <x:v>0</x:v>
      </x:c>
      <x:c r="H18" s="10" t="n">
        <x:f>COUNTIFS('Master Checklist'!$B$2:$B$178,A18,'Master Checklist'!$H$2:$H$178,"Needs Verification")</x:f>
        <x:v>0</x:v>
      </x:c>
      <x:c r="I18" s="10" t="n">
        <x:f>COUNTIFS('Master Checklist'!$B$2:$B$178,A18,'Master Checklist'!$H$2:$H$178,"Not Started")</x:f>
        <x:v>8</x:v>
      </x:c>
      <x:c r="J18" s="10" t="n">
        <x:f>COUNTIFS('Master Checklist'!$B$2:$B$178,A18,'Master Checklist'!$H$2:$H$178,"Blocked")</x:f>
        <x:v>0</x:v>
      </x:c>
      <x:c r="K18" s="22" t="n">
        <x:f>IFERROR(E18/D18,0)</x:f>
        <x:v>0</x:v>
      </x:c>
      <x:c r="L18" s="10" t="str">
        <x:v>12.09;16.01</x:v>
      </x:c>
      <x:c r="M18" s="10" t="str">
        <x:v>Authorship and publication compliance log</x:v>
      </x:c>
    </x:row>
    <x:row r="19" ht="46" customHeight="1">
      <x:c r="A19" s="10" t="n">
        <x:v>18</x:v>
      </x:c>
      <x:c r="B19" s="10" t="str">
        <x:v>Dissertation drafting and integration</x:v>
      </x:c>
      <x:c r="C19" s="10" t="str">
        <x:v>Dissertation</x:v>
      </x:c>
      <x:c r="D19" s="10" t="n">
        <x:f>COUNTIF('Master Checklist'!$B$2:$B$178,A19)</x:f>
        <x:v>13</x:v>
      </x:c>
      <x:c r="E19" s="10" t="n">
        <x:f>COUNTIFS('Master Checklist'!$B$2:$B$178,A19,'Master Checklist'!$H$2:$H$178,"Completed*")</x:f>
        <x:v>0</x:v>
      </x:c>
      <x:c r="F19" s="10" t="n">
        <x:f>COUNTIFS('Master Checklist'!$B$2:$B$178,A19,'Master Checklist'!$H$2:$H$178,"In Progress")</x:f>
        <x:v>4</x:v>
      </x:c>
      <x:c r="G19" s="10" t="n">
        <x:f>COUNTIFS('Master Checklist'!$B$2:$B$178,A19,'Master Checklist'!$H$2:$H$178,"Implemented—Verify")</x:f>
        <x:v>0</x:v>
      </x:c>
      <x:c r="H19" s="10" t="n">
        <x:f>COUNTIFS('Master Checklist'!$B$2:$B$178,A19,'Master Checklist'!$H$2:$H$178,"Needs Verification")</x:f>
        <x:v>1</x:v>
      </x:c>
      <x:c r="I19" s="10" t="n">
        <x:f>COUNTIFS('Master Checklist'!$B$2:$B$178,A19,'Master Checklist'!$H$2:$H$178,"Not Started")</x:f>
        <x:v>8</x:v>
      </x:c>
      <x:c r="J19" s="10" t="n">
        <x:f>COUNTIFS('Master Checklist'!$B$2:$B$178,A19,'Master Checklist'!$H$2:$H$178,"Blocked")</x:f>
        <x:v>0</x:v>
      </x:c>
      <x:c r="K19" s="22" t="n">
        <x:f>IFERROR(E19/D19,0)</x:f>
        <x:v>0</x:v>
      </x:c>
      <x:c r="L19" s="10" t="str">
        <x:v>01.08</x:v>
      </x:c>
      <x:c r="M19" s="10" t="str">
        <x:v>Committee-review dissertation draft</x:v>
      </x:c>
    </x:row>
    <x:row r="20" ht="46" customHeight="1">
      <x:c r="A20" s="10" t="n">
        <x:v>19</x:v>
      </x:c>
      <x:c r="B20" s="10" t="str">
        <x:v>Defense, submission and archival</x:v>
      </x:c>
      <x:c r="C20" s="10" t="str">
        <x:v>Graduation</x:v>
      </x:c>
      <x:c r="D20" s="10" t="n">
        <x:f>COUNTIF('Master Checklist'!$B$2:$B$178,A20)</x:f>
        <x:v>9</x:v>
      </x:c>
      <x:c r="E20" s="10" t="n">
        <x:f>COUNTIFS('Master Checklist'!$B$2:$B$178,A20,'Master Checklist'!$H$2:$H$178,"Completed*")</x:f>
        <x:v>0</x:v>
      </x:c>
      <x:c r="F20" s="10" t="n">
        <x:f>COUNTIFS('Master Checklist'!$B$2:$B$178,A20,'Master Checklist'!$H$2:$H$178,"In Progress")</x:f>
        <x:v>0</x:v>
      </x:c>
      <x:c r="G20" s="10" t="n">
        <x:f>COUNTIFS('Master Checklist'!$B$2:$B$178,A20,'Master Checklist'!$H$2:$H$178,"Implemented—Verify")</x:f>
        <x:v>0</x:v>
      </x:c>
      <x:c r="H20" s="10" t="n">
        <x:f>COUNTIFS('Master Checklist'!$B$2:$B$178,A20,'Master Checklist'!$H$2:$H$178,"Needs Verification")</x:f>
        <x:v>0</x:v>
      </x:c>
      <x:c r="I20" s="10" t="n">
        <x:f>COUNTIFS('Master Checklist'!$B$2:$B$178,A20,'Master Checklist'!$H$2:$H$178,"Not Started")</x:f>
        <x:v>9</x:v>
      </x:c>
      <x:c r="J20" s="10" t="n">
        <x:f>COUNTIFS('Master Checklist'!$B$2:$B$178,A20,'Master Checklist'!$H$2:$H$178,"Blocked")</x:f>
        <x:v>0</x:v>
      </x:c>
      <x:c r="K20" s="22" t="n">
        <x:f>IFERROR(E20/D20,0)</x:f>
        <x:v>0</x:v>
      </x:c>
      <x:c r="L20" s="10" t="str">
        <x:v>18.12;01.08</x:v>
      </x:c>
      <x:c r="M20" s="10" t="str">
        <x:v>Degree completion clearance</x:v>
      </x:c>
    </x:row>
    <x:row r="21" ht="46" customHeight="1">
      <x:c r="A21" s="10" t="n">
        <x:v>20</x:v>
      </x:c>
      <x:c r="B21" s="10" t="str">
        <x:v>Ongoing research management and quality</x:v>
      </x:c>
      <x:c r="C21" s="10" t="str">
        <x:v>Management</x:v>
      </x:c>
      <x:c r="D21" s="10" t="n">
        <x:f>COUNTIF('Master Checklist'!$B$2:$B$178,A21)</x:f>
        <x:v>8</x:v>
      </x:c>
      <x:c r="E21" s="10" t="n">
        <x:f>COUNTIFS('Master Checklist'!$B$2:$B$178,A21,'Master Checklist'!$H$2:$H$178,"Completed*")</x:f>
        <x:v>0</x:v>
      </x:c>
      <x:c r="F21" s="10" t="n">
        <x:f>COUNTIFS('Master Checklist'!$B$2:$B$178,A21,'Master Checklist'!$H$2:$H$178,"In Progress")</x:f>
        <x:v>3</x:v>
      </x:c>
      <x:c r="G21" s="10" t="n">
        <x:f>COUNTIFS('Master Checklist'!$B$2:$B$178,A21,'Master Checklist'!$H$2:$H$178,"Implemented—Verify")</x:f>
        <x:v>0</x:v>
      </x:c>
      <x:c r="H21" s="10" t="n">
        <x:f>COUNTIFS('Master Checklist'!$B$2:$B$178,A21,'Master Checklist'!$H$2:$H$178,"Needs Verification")</x:f>
        <x:v>1</x:v>
      </x:c>
      <x:c r="I21" s="10" t="n">
        <x:f>COUNTIFS('Master Checklist'!$B$2:$B$178,A21,'Master Checklist'!$H$2:$H$178,"Not Started")</x:f>
        <x:v>4</x:v>
      </x:c>
      <x:c r="J21" s="10" t="n">
        <x:f>COUNTIFS('Master Checklist'!$B$2:$B$178,A21,'Master Checklist'!$H$2:$H$178,"Blocked")</x:f>
        <x:v>0</x:v>
      </x:c>
      <x:c r="K21" s="22" t="n">
        <x:f>IFERROR(E21/D21,0)</x:f>
        <x:v>0</x:v>
      </x:c>
      <x:c r="L21" s="10" t="str">
        <x:v>01.01</x:v>
      </x:c>
      <x:c r="M21" s="10" t="str">
        <x:v>Project closeout and handover package</x:v>
      </x:c>
    </x:row>
  </x:sheetData>
  <x:conditionalFormatting sqref="K2:K2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{C0FBB933-EFFC-62AB-6919-6BFE88BC1649}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0FBB933-EFFC-62AB-6919-6BFE88BC1649}">
            <x14:dataBar gradient="1">
              <x14:cfvo type="min"/>
              <x14:cfvo type="max"/>
              <x14:fillColor rgb="FF2563EB"/>
            </x14:dataBar>
          </x14:cfRule>
          <xm:sqref>K2:K21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35" hidden="0" customWidth="1"/>
    <x:col min="4" max="4" width="65" hidden="0" customWidth="1"/>
    <x:col min="5" max="5" width="24" hidden="0" customWidth="1"/>
    <x:col min="6" max="6" width="26" hidden="0" customWidth="1"/>
    <x:col min="7" max="7" width="84" hidden="0" customWidth="1"/>
    <x:col min="8" max="8" width="18" hidden="0" customWidth="1"/>
  </x:cols>
  <x:sheetData>
    <x:row r="1" ht="36" customHeight="1">
      <x:c r="A1" s="18" t="str">
        <x:v>Paper ID</x:v>
      </x:c>
      <x:c r="B1" s="18" t="str">
        <x:v>Paper / contribution</x:v>
      </x:c>
      <x:c r="C1" s="18" t="str">
        <x:v>Target venue</x:v>
      </x:c>
      <x:c r="D1" s="18" t="str">
        <x:v>Current evidence-based assessment</x:v>
      </x:c>
      <x:c r="E1" s="18" t="str">
        <x:v>Related task IDs</x:v>
      </x:c>
      <x:c r="F1" s="18" t="str">
        <x:v>Scientific prerequisites</x:v>
      </x:c>
      <x:c r="G1" s="18" t="str">
        <x:v>Complete publication workflow</x:v>
      </x:c>
      <x:c r="H1" s="18" t="str">
        <x:v>Planning status</x:v>
      </x:c>
    </x:row>
    <x:row r="2" ht="78" customHeight="1">
      <x:c r="A2" s="10" t="str">
        <x:v>P1</x:v>
      </x:c>
      <x:c r="B2" s="10" t="str">
        <x:v>SafetyRAG architecture / formal model</x:v>
      </x:c>
      <x:c r="C2" s="10" t="str">
        <x:v>Empirical Software Engineering (target)</x:v>
      </x:c>
      <x:c r="D2" s="10" t="str">
        <x:v>Draft architecture/novelty analysis exists; empirical results not complete</x:v>
      </x:c>
      <x:c r="E2" s="10" t="str">
        <x:v>16.01–16.13</x:v>
      </x:c>
      <x:c r="F2" s="10" t="str">
        <x:v>12.09;16.04</x:v>
      </x:c>
      <x:c r="G2" s="10" t="str">
        <x:v>Design + implementation + ablations + reproducibility + submission + revisions</x:v>
      </x:c>
      <x:c r="H2" s="10" t="str">
        <x:v>Not Started</x:v>
      </x:c>
    </x:row>
    <x:row r="3" ht="78" customHeight="1">
      <x:c r="A3" s="10" t="str">
        <x:v>P2</x:v>
      </x:c>
      <x:c r="B3" s="10" t="str">
        <x:v>Retrieval, provenance and temporal eligibility</x:v>
      </x:c>
      <x:c r="C3" s="10" t="str">
        <x:v>Venue to select</x:v>
      </x:c>
      <x:c r="D3" s="10" t="str">
        <x:v>Distinct empirical manuscript not yet drafted</x:v>
      </x:c>
      <x:c r="E3" s="10" t="str">
        <x:v>17.01–17.03</x:v>
      </x:c>
      <x:c r="F3" s="10" t="str">
        <x:v>12.09;17.01</x:v>
      </x:c>
      <x:c r="G3" s="10" t="str">
        <x:v>Gold standard + controlled retrieval and temporal experiments + paper + reviews</x:v>
      </x:c>
      <x:c r="H3" s="10" t="str">
        <x:v>Not Started</x:v>
      </x:c>
    </x:row>
    <x:row r="4" ht="78" customHeight="1">
      <x:c r="A4" s="10" t="str">
        <x:v>P3</x:v>
      </x:c>
      <x:c r="B4" s="10" t="str">
        <x:v>MCAS safety case and corrective actions</x:v>
      </x:c>
      <x:c r="C4" s="10" t="str">
        <x:v>Venue to select</x:v>
      </x:c>
      <x:c r="D4" s="10" t="str">
        <x:v>Simulator and case materials partly developed; validated study outstanding</x:v>
      </x:c>
      <x:c r="E4" s="10" t="str">
        <x:v>17.04–17.05</x:v>
      </x:c>
      <x:c r="F4" s="10" t="str">
        <x:v>09.09;12.09</x:v>
      </x:c>
      <x:c r="G4" s="10" t="str">
        <x:v>Validated simulator + hazards + controls + comparisons + paper + reviews</x:v>
      </x:c>
      <x:c r="H4" s="10" t="str">
        <x:v>Not Started</x:v>
      </x:c>
    </x:row>
    <x:row r="5" ht="78" customHeight="1">
      <x:c r="A5" s="10" t="str">
        <x:v>P4</x:v>
      </x:c>
      <x:c r="B5" s="10" t="str">
        <x:v>Human–AI decision quality</x:v>
      </x:c>
      <x:c r="C5" s="10" t="str">
        <x:v>Venue to select</x:v>
      </x:c>
      <x:c r="D5" s="10" t="str">
        <x:v>Human study pending ethics, recruitment and experiments</x:v>
      </x:c>
      <x:c r="E5" s="10" t="str">
        <x:v>17.06–17.07</x:v>
      </x:c>
      <x:c r="F5" s="10" t="str">
        <x:v>15.06</x:v>
      </x:c>
      <x:c r="G5" s="10" t="str">
        <x:v>IRB + study + analysis + human factors results + paper + reviews</x:v>
      </x:c>
      <x:c r="H5" s="10" t="str">
        <x:v>Not Started</x:v>
      </x:c>
    </x:row>
    <x:row r="6" ht="78" customHeight="1">
      <x:c r="A6" s="10" t="str">
        <x:v>P5</x:v>
      </x:c>
      <x:c r="B6" s="10" t="str">
        <x:v>Cross-domain generalization (optional)</x:v>
      </x:c>
      <x:c r="C6" s="10" t="str">
        <x:v>Venue to select</x:v>
      </x:c>
      <x:c r="D6" s="10" t="str">
        <x:v>Secondary case not selected</x:v>
      </x:c>
      <x:c r="E6" s="10" t="str">
        <x:v>17.08</x:v>
      </x:c>
      <x:c r="F6" s="10" t="str">
        <x:v>13.05</x:v>
      </x:c>
      <x:c r="G6" s="10" t="str">
        <x:v>Independent transfer study + manuscript only if results warrant</x:v>
      </x:c>
      <x:c r="H6" s="10" t="str">
        <x:v>Deferred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 ht="30" customHeight="1">
      <x:c r="A1" s="17" t="str">
        <x:v>Category</x:v>
      </x:c>
      <x:c r="B1" s="17" t="str">
        <x:v>Definition / instructions</x:v>
      </x:c>
    </x:row>
    <x:row r="2" ht="45" customHeight="1">
      <x:c r="A2" s="10" t="str">
        <x:v>Purpose</x:v>
      </x:c>
      <x:c r="B2" s="10" t="str">
        <x:v>Master dissertation checklist; tasks ordered by phase and linked with explicit prerequisite IDs. No fixed dates are required.</x:v>
      </x:c>
    </x:row>
    <x:row r="3" ht="45" customHeight="1">
      <x:c r="A3" s="10" t="str">
        <x:v>Completion rule</x:v>
      </x:c>
      <x:c r="B3" s="10" t="str">
        <x:v>Only mark Completed (Verified) after checking an output and recording its location in column L, with supporting evidence in column M.</x:v>
      </x:c>
    </x:row>
    <x:row r="4" ht="45" customHeight="1">
      <x:c r="A4" s="10" t="str">
        <x:v>Completed (Artifact)</x:v>
      </x:c>
      <x:c r="B4" s="10" t="str">
        <x:v>A deliverable exists (e.g., committee presentation), but approval/use of it is not implied.</x:v>
      </x:c>
    </x:row>
    <x:row r="5" ht="45" customHeight="1">
      <x:c r="A5" s="10" t="str">
        <x:v>Completed (Analysis)</x:v>
      </x:c>
      <x:c r="B5" s="10" t="str">
        <x:v>A bounded analysis has been performed (e.g., REFSafE review), but full systematic review is not complete.</x:v>
      </x:c>
    </x:row>
    <x:row r="6" ht="45" customHeight="1">
      <x:c r="A6" s="10" t="str">
        <x:v>Implemented—Verify</x:v>
      </x:c>
      <x:c r="B6" s="10" t="str">
        <x:v>A feature or milestone was described as implemented, but fresh-machine build, tests or end-to-end acceptance are not verified.</x:v>
      </x:c>
    </x:row>
    <x:row r="7" ht="45" customHeight="1">
      <x:c r="A7" s="10" t="str">
        <x:v>In Progress</x:v>
      </x:c>
      <x:c r="B7" s="10" t="str">
        <x:v>Documented draft, partial code, or active work exists; acceptance criteria remain unmet.</x:v>
      </x:c>
    </x:row>
    <x:row r="8" ht="45" customHeight="1">
      <x:c r="A8" s="10" t="str">
        <x:v>Needs Verification</x:v>
      </x:c>
      <x:c r="B8" s="10" t="str">
        <x:v>There may be prior progress, but status is not substantiated well enough to mark complete.</x:v>
      </x:c>
    </x:row>
    <x:row r="9" ht="45" customHeight="1">
      <x:c r="A9" s="10" t="str">
        <x:v>Not Started</x:v>
      </x:c>
      <x:c r="B9" s="10" t="str">
        <x:v>No sufficient evidence of a completed task; some preliminary thinking may still exist.</x:v>
      </x:c>
    </x:row>
    <x:row r="10" ht="45" customHeight="1">
      <x:c r="A10" s="10" t="str">
        <x:v>Blocked</x:v>
      </x:c>
      <x:c r="B10" s="10" t="str">
        <x:v>Cannot proceed due to a concrete unresolved prerequisite; document blocker in column N.</x:v>
      </x:c>
    </x:row>
    <x:row r="11" ht="45" customHeight="1">
      <x:c r="A11" s="10" t="str">
        <x:v>Deferred</x:v>
      </x:c>
      <x:c r="B11" s="10" t="str">
        <x:v>Explicitly optional or postponed; do not count as completed.</x:v>
      </x:c>
    </x:row>
    <x:row r="12" ht="45" customHeight="1">
      <x:c r="A12" s="10" t="str">
        <x:v>Dependencies</x:v>
      </x:c>
      <x:c r="B12" s="10" t="str">
        <x:v>Prerequisite task IDs are semicolon separated. Finish and verify all prerequisites before marking dependent task complete.</x:v>
      </x:c>
    </x:row>
    <x:row r="13" ht="45" customHeight="1">
      <x:c r="A13" s="10" t="str">
        <x:v>Evidence locations</x:v>
      </x:c>
      <x:c r="B13" s="10" t="str">
        <x:v>Use paths, Git tags/commits, document filenames, DOI/URLs, committee records, IRB IDs or test report links.</x:v>
      </x:c>
    </x:row>
    <x:row r="14" ht="45" customHeight="1">
      <x:c r="A14" s="10" t="str">
        <x:v>Status baseline</x:v>
      </x:c>
      <x:c r="B14" s="10" t="str">
        <x:v>As of 2026-10-29; conservative evidence-based reconstruction from earlier plans, source/code discussions and available artifacts.</x:v>
      </x:c>
    </x:row>
    <x:row r="15" ht="45" customHeight="1">
      <x:c r="A15" s="10" t="str">
        <x:v>Caveat</x:v>
      </x:c>
      <x:c r="B15" s="10" t="str">
        <x:v>Not a repository audit, signed committee record, or complete systematic review. Status values require user confirmation and ongoing updates.</x:v>
      </x:c>
    </x:row>
    <x:row r="16" ht="45" customHeight="1">
      <x:c r="A16" s="10" t="str">
        <x:v>Source: development</x:v>
      </x:c>
      <x:c r="B16" s="10" t="str">
        <x:v>Prior Java Spring Boot/PostgreSQL/React development records, build logs, milestone 13H and MCAS simulator discussions.</x:v>
      </x:c>
    </x:row>
    <x:row r="17" ht="45" customHeight="1">
      <x:c r="A17" s="10" t="str">
        <x:v>Source: research</x:v>
      </x:c>
      <x:c r="B17" s="10" t="str">
        <x:v>Prior EMSE architecture manuscript, literature/REFSafE analysis, committee presentation, MCAS design, master plan and roadmap.</x:v>
      </x:c>
    </x:row>
    <x:row r="18" ht="45" customHeight="1">
      <x:c r="A18" s="10" t="str">
        <x:v>Recommended update cadence</x:v>
      </x:c>
      <x:c r="B18" s="10" t="str">
        <x:v>After each completed milestone, committee meeting, experiment freeze, manuscript submission or software release.</x:v>
      </x:c>
    </x:row>
  </x:sheetData>
  <x:pageMargins left="0.7" right="0.7" top="0.75" bottom="0.75" header="0.3" footer="0.3"/>
</x:worksheet>
</file>